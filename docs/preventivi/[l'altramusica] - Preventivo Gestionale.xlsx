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entivo" sheetId="1" r:id="rId4"/>
    <sheet state="visible" name="Implementazioni" sheetId="2" r:id="rId5"/>
    <sheet state="visible" name="DevUnits" sheetId="3" r:id="rId6"/>
  </sheets>
  <definedNames/>
  <calcPr/>
</workbook>
</file>

<file path=xl/sharedStrings.xml><?xml version="1.0" encoding="utf-8"?>
<sst xmlns="http://schemas.openxmlformats.org/spreadsheetml/2006/main" count="373" uniqueCount="225">
  <si>
    <t>Preventivo realizzazione software gestionale</t>
  </si>
  <si>
    <t>L'altramusica</t>
  </si>
  <si>
    <t>DI:</t>
  </si>
  <si>
    <t>Footility.com di Mistretta Paolo</t>
  </si>
  <si>
    <t>PER:</t>
  </si>
  <si>
    <t>L'altramusica Cooperativa Sociale E.T.S.</t>
  </si>
  <si>
    <t>P.IVA:</t>
  </si>
  <si>
    <t>C.C.I.A.A.:</t>
  </si>
  <si>
    <t>MI2564569</t>
  </si>
  <si>
    <t>-</t>
  </si>
  <si>
    <t>C.F:</t>
  </si>
  <si>
    <t>MSTPLA85S01M102S</t>
  </si>
  <si>
    <t>INDIRIZZO:</t>
  </si>
  <si>
    <t>Via XXIV Maggio 87</t>
  </si>
  <si>
    <t>Corso Buones Aires</t>
  </si>
  <si>
    <t>20099, Sesto San Giovanni, MI</t>
  </si>
  <si>
    <t>20124, Milano</t>
  </si>
  <si>
    <t>CELL.:</t>
  </si>
  <si>
    <t>+39 338 91 70 501</t>
  </si>
  <si>
    <t>E-MAIL:</t>
  </si>
  <si>
    <t>paolo.mistretta@footility.com</t>
  </si>
  <si>
    <t>info@laltramusica.com</t>
  </si>
  <si>
    <t>Sito web:</t>
  </si>
  <si>
    <t>https://www.footility.com</t>
  </si>
  <si>
    <t>https://www.laltramusica.com</t>
  </si>
  <si>
    <t>Data:</t>
  </si>
  <si>
    <t>Scadenza:</t>
  </si>
  <si>
    <t>DESCRIZIONE GENERALE</t>
  </si>
  <si>
    <t>Data la complessità e la varietà di implicazioni presenti negli attuali dati, il preventivo è suddiviso in aree generiche. I dettagli di ciascuna area saranno realizzati e formalizzati progressivamente durante l'avanzamento del progetto. Questo approccio garantisce flessibilità e adattabilità, permettendo di rispondere in modo efficiente alle esigenze emergenti e di ottimizzare le risorse nel corso dello sviluppo del sistema gestionale.</t>
  </si>
  <si>
    <t>SOLUZIONE PROPOSTA</t>
  </si>
  <si>
    <t>FUNZIONALITA'</t>
  </si>
  <si>
    <t>DESCRIZIONE</t>
  </si>
  <si>
    <t>Gestione delle utenze</t>
  </si>
  <si>
    <t>Configurazione e gestione degli account utente, inclusa la registrazione degli utenti e l'assegnazione dei ruoli specifici a studenti, genitori, docenti e personale amministrativo.</t>
  </si>
  <si>
    <t>Controllo Accessi e Autorizzazioni</t>
  </si>
  <si>
    <t>Implementazione di sistemi di autenticazione e autorizzazione per garantire che l'accesso alle informazioni sia limitato in base al ruolo e alle competenze dell'utente. Questo include la gestione di password, l'autenticazione a più fattori e l'assegnazione di permessi specifici per le diverse aree del sistema.</t>
  </si>
  <si>
    <t>Anagrafica fornitori e clienti</t>
  </si>
  <si>
    <t>Generazione attestati di frequenza</t>
  </si>
  <si>
    <t>Comunicazione Mail / SMS</t>
  </si>
  <si>
    <t>Gestione aule</t>
  </si>
  <si>
    <t>Lezioi libere</t>
  </si>
  <si>
    <t>Pacchetto lezioni</t>
  </si>
  <si>
    <t>Supplenti / Supplenza</t>
  </si>
  <si>
    <t>occhio alla gestione pagamenti in base a insegnante o supplente</t>
  </si>
  <si>
    <t>Prospetto previsionale lezioni</t>
  </si>
  <si>
    <t>Gestione Studenti</t>
  </si>
  <si>
    <t>Gestione completa dei dati anagrafici degli studenti dal primo contatto fino alla loro conversione in clienti, inclusa la gestione delle informazioni didattiche e personali. Include i dettagli relativi agli studenti e ai genitori/tutori, le note amministrative specifiche e la gestione della privacy dei dati.</t>
  </si>
  <si>
    <t>Gestione Genitori/Tutore</t>
  </si>
  <si>
    <t>Conservazione delle informazioni dei genitori o tutori per contatti e transazioni finanziarie; essenziale per le comunicazioni riguardo pagamenti e iscrizioni. Incluso nel dettaglio sono i dati di contatto e la comunicazione, oltre alla gestione della privacy.</t>
  </si>
  <si>
    <t>Gestione Fatturazione, Pagamenti e Recupero Crediti</t>
  </si>
  <si>
    <t>Tracciamento delle fatture, rate di pagamento, note di credito e recupero crediti. Include dettagli specifici relativi alle fatture, rata di pagamento, e il totale annuale dei pagamenti.</t>
  </si>
  <si>
    <t>Iscrizione e Corsi</t>
  </si>
  <si>
    <t>Registrazione dettagliata delle iscrizioni e dei corsi, incluse informazioni su date di inizio e conclusione dei corsi, descrizione dettagliata dei corsi compresa di tipologia e descrizione. Gestisce anche la schedulazione delle classi basata su vari parametri e monitoraggio dei livelli ABRSM.</t>
  </si>
  <si>
    <t>Gestione Accessori e Strumenti Musicali</t>
  </si>
  <si>
    <t>Gestione del noleggio e acquisto di strumenti musicali e altri accessori, con dettagli finanziari come cauzioni e rate di noleggio. Include informazioni dettagliate sul noleggio. Inclusione della gestione dei libri didattici, con operazioni di tracciamento, acquisto, e distribuzione dei libri necessari per i corsi e le attività extra.</t>
  </si>
  <si>
    <t>Attività Extra (Orchestra/Coro)</t>
  </si>
  <si>
    <t>Organizzazione e gestione delle attività extracurriculari come orchestre e cori, con la gestione di eventi e le relative iscrizioni. Include dettagli specifici su partecipazione e costi relativi a orchestre e cori.</t>
  </si>
  <si>
    <t>Gestione Esami</t>
  </si>
  <si>
    <t>Amministrazione degli esami, inclusi i costi di iscrizione e la pianificazione, in linea con i livelli ABRSM qualora applicabile. Gestisce anche dettagli specifici sugli esami.</t>
  </si>
  <si>
    <t>Comunicazione e Privacy</t>
  </si>
  <si>
    <t>Gestione delle comunicazioni e della privacy, inclusi i dettagli su come i clienti siano venuti a conoscenza dell'istituto e la gestione della privacy delle foto. Implementa un sistema di comunicazione integrato per invio di email, WhatsApp o altri sistemi (se applicabili)</t>
  </si>
  <si>
    <t>Amministrazione e Contratti</t>
  </si>
  <si>
    <t>Gestione dei contratti, dal rilascio alla firma, incluso il monitoraggio delle scadenze contrattuali e la gestione dei documenti legali come la privacy. Include la gestione documentale completa dei contratti, i dettagli sullo stato del contratto e termini. (da verificare implementazione con sistemi esterni)</t>
  </si>
  <si>
    <t>Gestione Docenti</t>
  </si>
  <si>
    <t>Gestione delle informazioni anagrafiche dei docenti, inclusi contratti, assegnazioni a corsi, e accesso ai profili didattici per la gestione delle attività di insegnamento. Soci non soci --&gt; posso stabilire di dare la supervisione di un determinato progetto con un forfet stabilito. Aggiungere voci forfettarie aggiuntive</t>
  </si>
  <si>
    <t>Pianificazione Annuale e Reportistica</t>
  </si>
  <si>
    <t>Preparazione per le iscrizioni annuali, programmazione dei calendari e riepiloghi contabili fino al termine dell'anno scolastico. Include la visualizzazione di statistiche con grafici o informaizoni testuali</t>
  </si>
  <si>
    <t>Sicurezza e Integrità dei Dati</t>
  </si>
  <si>
    <t>Implementazione di misure di sicurezza per la protezione dei dati personali e sensibili secondo le normative vigenti (es. GDPR). Sistema di backup e ripristino dati per garantire la continuità operativa e la sicurezza delle informazioni.</t>
  </si>
  <si>
    <t>roardmap</t>
  </si>
  <si>
    <t>dati</t>
  </si>
  <si>
    <t>1 - primo contatto</t>
  </si>
  <si>
    <t>- mandare link con informazioni primo contatto, mandato dal sito attuale?</t>
  </si>
  <si>
    <t>nota didattica</t>
  </si>
  <si>
    <t>note informative generali</t>
  </si>
  <si>
    <t>data nascita</t>
  </si>
  <si>
    <t xml:space="preserve">telefono </t>
  </si>
  <si>
    <t>mail</t>
  </si>
  <si>
    <t>nome allievo</t>
  </si>
  <si>
    <t>- anagrafica del primo genitore e del secondo genitore</t>
  </si>
  <si>
    <t>- delega per recupero bambino (tutore)</t>
  </si>
  <si>
    <t>- disponibilità oraria</t>
  </si>
  <si>
    <t>2- dopo la categorizazione dello studente (corso strumento)</t>
  </si>
  <si>
    <t>vuole o non vuole l'orchestra</t>
  </si>
  <si>
    <t>- proposta oraria</t>
  </si>
  <si>
    <t>- visione definitiva classe, insegnatnte orari PRECISI</t>
  </si>
  <si>
    <t>3 - iscrizzione effettiva - agosto</t>
  </si>
  <si>
    <t>- anagrafica studente e informazioni tutelative per la responsabilità minori (può uscire da solo?)</t>
  </si>
  <si>
    <t>codice fiscale</t>
  </si>
  <si>
    <t>strumento</t>
  </si>
  <si>
    <t>indirizzo</t>
  </si>
  <si>
    <t>tipo studente = iscritto, nuovo, pre-iscrritto (negli anni precedenti)</t>
  </si>
  <si>
    <t>- corso ? (per il contratto)</t>
  </si>
  <si>
    <t>- invio link con il contratto per accettare proposta</t>
  </si>
  <si>
    <t>- generazione conteggio rate lezioni</t>
  </si>
  <si>
    <t>- generazione fattura alla proposta di iscrizione</t>
  </si>
  <si>
    <t>- esercizio = coincide con l'anno scolastico 1° settembre - 31 agosto</t>
  </si>
  <si>
    <t xml:space="preserve">- anno solare </t>
  </si>
  <si>
    <t>interessati ---&gt; sono interessati all'esercizio</t>
  </si>
  <si>
    <t>data di ultimo contatto importante</t>
  </si>
  <si>
    <t xml:space="preserve">rate e solleciti </t>
  </si>
  <si>
    <t>possibilità di ritirarsi dal corso</t>
  </si>
  <si>
    <t>crediti e acconti</t>
  </si>
  <si>
    <t xml:space="preserve">attenzione </t>
  </si>
  <si>
    <t>fatture elettroniche solo al pagamento avvenuto</t>
  </si>
  <si>
    <t xml:space="preserve">proforme </t>
  </si>
  <si>
    <t>note di credito</t>
  </si>
  <si>
    <t>spospensione delle rate in casi di automatismi</t>
  </si>
  <si>
    <t>all'utente serve verificare se è in regola con i pagamenti</t>
  </si>
  <si>
    <t>- dati di primo contatto</t>
  </si>
  <si>
    <t>- esempio di contratto (pdf e ods)</t>
  </si>
  <si>
    <t>- google form per la raccolta dei dati</t>
  </si>
  <si>
    <t>fase 4 organizzazione orchestra - settembre</t>
  </si>
  <si>
    <t>aule</t>
  </si>
  <si>
    <t>insegnante</t>
  </si>
  <si>
    <t>gestione presenze e gruppi (conto orario)</t>
  </si>
  <si>
    <t>nel profilo dell'utente disponibilità oraria degli allievi perchè consente</t>
  </si>
  <si>
    <t>livello degli studenti - 0,1,2,3, 4, 5,6,7,8</t>
  </si>
  <si>
    <t>grosso filtro quando faccio l'orario</t>
  </si>
  <si>
    <t>diritto di prelazione quota pagata anno successivo pagato prima è di competenza dell'esercizio succesivo</t>
  </si>
  <si>
    <t>girare il credito tra fratelll</t>
  </si>
  <si>
    <t xml:space="preserve">differenza database sul codice fiscale allievi -&gt; prima era CF per fattura </t>
  </si>
  <si>
    <t>per la gestione dell'anno:</t>
  </si>
  <si>
    <t>- i presiscritti dovresti essere nell'anno scolastico successivo</t>
  </si>
  <si>
    <t>- i non prescritti ma iscritti nell'anno successivo</t>
  </si>
  <si>
    <t>- per il bilancio socaile devo fare raffronto su 3 anni</t>
  </si>
  <si>
    <t>- invece al sistema può lavorare sull'anni di esercizio e switchare su un anno piuttosto che un altro</t>
  </si>
  <si>
    <t>- il filtraggio massivo è richiesto</t>
  </si>
  <si>
    <t>- export</t>
  </si>
  <si>
    <t>strumenti: cespiti</t>
  </si>
  <si>
    <t>valore di acquisto</t>
  </si>
  <si>
    <t>coide</t>
  </si>
  <si>
    <t>venduti o no ai clienti</t>
  </si>
  <si>
    <t>documento di cosa è fatto (togliere dai cespiti se tolto)</t>
  </si>
  <si>
    <t>strumenti: contratto di noleggio</t>
  </si>
  <si>
    <t>compro libri fornitore</t>
  </si>
  <si>
    <t>inventario libri</t>
  </si>
  <si>
    <t>anagrafica / fornitore -&gt; fatture attive e passive</t>
  </si>
  <si>
    <t>pagamenti verso l'insegnante " rateizzati "</t>
  </si>
  <si>
    <t>l'insegnante vede solo il suo conteggio orario metnre quello economico viene mandato</t>
  </si>
  <si>
    <t>documento per la ritenuta d'acconto</t>
  </si>
  <si>
    <t>Prezzo:</t>
  </si>
  <si>
    <t>* la cancellazione dei dati dovrò essere analizzata e diversificata per ogni specifico dato
* gli attuali costi non prevedono la gestione dei pagamenti attraverso il nuovo gestionale e non sono quindi previste integrazioni con sistemi di pagmento esterni</t>
  </si>
  <si>
    <t>Il preventivo continua nella prossima pagina</t>
  </si>
  <si>
    <t>ALTRE ATTIVITA' DURANTE LE LAVORAZIONI</t>
  </si>
  <si>
    <t>Apertura del dominio e installazione del software</t>
  </si>
  <si>
    <t>inclusa</t>
  </si>
  <si>
    <t>Correzione bug, assistenza e manutenzione</t>
  </si>
  <si>
    <t xml:space="preserve">Formazione del personale </t>
  </si>
  <si>
    <t>48 ore</t>
  </si>
  <si>
    <t>Consulenza per le attività presenti in preventivo</t>
  </si>
  <si>
    <t>Import dei dati dell'anno 2024</t>
  </si>
  <si>
    <t>incluso</t>
  </si>
  <si>
    <t>MANUTENZIONE E SERVIZI AL TERMINE DELLE LAVORAZIONI</t>
  </si>
  <si>
    <t>Import per eventuali anni precedenti 2024 
(cad. uno)</t>
  </si>
  <si>
    <t>da 50€/mese</t>
  </si>
  <si>
    <t>SERVIZI ESTERNI</t>
  </si>
  <si>
    <t>Apertura di un sito + hosting</t>
  </si>
  <si>
    <t>a partire da 30€/anno</t>
  </si>
  <si>
    <t>Sistema di gestione della privacy, cookie banner, GDPR</t>
  </si>
  <si>
    <t>a partire da 19€/anno</t>
  </si>
  <si>
    <t>TEMPISTICHE</t>
  </si>
  <si>
    <t>Si prevede di realizzare l'intero sistema entro settembre 2024 con i primi test operativi durante l'estate 2024</t>
  </si>
  <si>
    <t>Le consegne avverranno parzialmente e incrementalmente su base settimanale o bisettimanale in base alla complessità delle attività o alle esigenze concordate di volta in volta.</t>
  </si>
  <si>
    <t>Note:</t>
  </si>
  <si>
    <t>Il presente preventivo è da considerarsi indicativo e suscettibile a modifiche. Tali modifiche potrebbero subentrare in corso d'opera per soddisfare le necessità non identificate e non identificabili nelle fasi iniziali del progetto o della commessa sia di livello tecnico che di livello funzionale. Tutte le modifiche dovranno essere concordate e accettate dalle parti.</t>
  </si>
  <si>
    <r>
      <rPr>
        <rFont val="Century Gothic"/>
        <color theme="1"/>
        <sz val="9.0"/>
      </rPr>
      <t xml:space="preserve">Tutti gli importi sono da considerarsi </t>
    </r>
    <r>
      <rPr>
        <rFont val="Century Gothic"/>
        <b/>
        <color theme="1"/>
        <sz val="9.0"/>
      </rPr>
      <t>esenti da iva</t>
    </r>
  </si>
  <si>
    <t>Footility.com di Mistretta Paolo autorizza ai sensi e per gli effetti degli artt. 13 e 23 del D. L.gs. n. 196/2003, con l'invio del presente modulo, al trattamento dei dati personali secondo le modalità e nei limiti di cui all’informativa allegata.</t>
  </si>
  <si>
    <t>Programma Gestionale</t>
  </si>
  <si>
    <t>CONTO IMPLEMENTAZIONI</t>
  </si>
  <si>
    <t>TEMPI</t>
  </si>
  <si>
    <t>Ore lavoro calssiche</t>
  </si>
  <si>
    <t>COSTI</t>
  </si>
  <si>
    <t>Tariffa minuti</t>
  </si>
  <si>
    <t>Ore lavoro per cliente</t>
  </si>
  <si>
    <t>Tariffa ora</t>
  </si>
  <si>
    <t>Minuti lavorazione</t>
  </si>
  <si>
    <t>Minuti totali</t>
  </si>
  <si>
    <t>Ore Totali</t>
  </si>
  <si>
    <t>Giorni (8 ore)</t>
  </si>
  <si>
    <t>Consgena (2 ore)</t>
  </si>
  <si>
    <t>totale unitario</t>
  </si>
  <si>
    <t>Scenario</t>
  </si>
  <si>
    <t>enity</t>
  </si>
  <si>
    <t>field</t>
  </si>
  <si>
    <t>index</t>
  </si>
  <si>
    <t>create</t>
  </si>
  <si>
    <t>store</t>
  </si>
  <si>
    <t>show</t>
  </si>
  <si>
    <t>edit</t>
  </si>
  <si>
    <t>update</t>
  </si>
  <si>
    <t>destory</t>
  </si>
  <si>
    <t>soft-delete</t>
  </si>
  <si>
    <t>filter</t>
  </si>
  <si>
    <t>sorting</t>
  </si>
  <si>
    <t>validation</t>
  </si>
  <si>
    <t>oto</t>
  </si>
  <si>
    <t>otm</t>
  </si>
  <si>
    <t>mtm</t>
  </si>
  <si>
    <t>Totale</t>
  </si>
  <si>
    <t>documenti</t>
  </si>
  <si>
    <t>upload</t>
  </si>
  <si>
    <t>Dev Units</t>
  </si>
  <si>
    <t>entity_operations</t>
  </si>
  <si>
    <t>fields_operations</t>
  </si>
  <si>
    <t>relations</t>
  </si>
  <si>
    <t>Source generation</t>
  </si>
  <si>
    <t>table</t>
  </si>
  <si>
    <t>x</t>
  </si>
  <si>
    <t>column</t>
  </si>
  <si>
    <t>model</t>
  </si>
  <si>
    <t>model relations</t>
  </si>
  <si>
    <t>controller</t>
  </si>
  <si>
    <t>controller action</t>
  </si>
  <si>
    <t>routes</t>
  </si>
  <si>
    <t>cta</t>
  </si>
  <si>
    <t>success message</t>
  </si>
  <si>
    <t>errore message</t>
  </si>
  <si>
    <t>view</t>
  </si>
  <si>
    <t>form</t>
  </si>
  <si>
    <t>log trace</t>
  </si>
  <si>
    <t>navigation</t>
  </si>
  <si>
    <t>fe logic</t>
  </si>
  <si>
    <t>be logic</t>
  </si>
  <si>
    <t>Peso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</si>
</sst>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€-2]\ #,##0"/>
    <numFmt numFmtId="166" formatCode="[$€-2]\ #,##0.00"/>
    <numFmt numFmtId="167" formatCode="0.0"/>
  </numFmts>
  <fonts count="28">
    <font>
      <sz val="10.0"/>
      <color rgb="FF000000"/>
      <name val="Arial"/>
      <scheme val="minor"/>
    </font>
    <font>
      <color theme="1"/>
      <name val="Century Gothic"/>
    </font>
    <font>
      <b/>
      <sz val="15.0"/>
      <color theme="1"/>
      <name val="Century Gothic"/>
    </font>
    <font>
      <i/>
      <sz val="12.0"/>
      <color theme="1"/>
      <name val="Century Gothic"/>
    </font>
    <font>
      <i/>
      <sz val="10.0"/>
      <color theme="1"/>
      <name val="Century Gothic"/>
    </font>
    <font/>
    <font>
      <b/>
      <sz val="9.0"/>
      <color theme="1"/>
      <name val="Century Gothic"/>
    </font>
    <font>
      <sz val="9.0"/>
      <color theme="1"/>
      <name val="Century Gothic"/>
    </font>
    <font>
      <sz val="9.0"/>
      <color rgb="FF000000"/>
      <name val="Century Gothic"/>
    </font>
    <font>
      <u/>
      <sz val="9.0"/>
      <color rgb="FF0000FF"/>
      <name val="Century Gothic"/>
    </font>
    <font>
      <u/>
      <sz val="9.0"/>
      <color rgb="FF0000FF"/>
      <name val="Century Gothic"/>
    </font>
    <font>
      <b/>
      <color theme="1"/>
      <name val="Century Gothic"/>
    </font>
    <font>
      <b/>
      <sz val="12.0"/>
      <color theme="1"/>
      <name val="Century Gothic"/>
    </font>
    <font>
      <b/>
      <sz val="12.0"/>
      <color rgb="FFFFFFFF"/>
      <name val="Century Gothic"/>
    </font>
    <font>
      <i/>
      <color theme="1"/>
      <name val="Century Gothic"/>
    </font>
    <font>
      <b/>
      <sz val="11.0"/>
      <color theme="1"/>
      <name val="Century Gothic"/>
    </font>
    <font>
      <b/>
      <i/>
      <sz val="10.0"/>
      <color theme="1"/>
      <name val="Century Gothic"/>
    </font>
    <font>
      <color theme="1"/>
      <name val="Arial"/>
      <scheme val="minor"/>
    </font>
    <font>
      <i/>
      <sz val="8.0"/>
      <color theme="1"/>
      <name val="Century Gothic"/>
    </font>
    <font>
      <b/>
      <i/>
      <color theme="1"/>
      <name val="Century Gothic"/>
    </font>
    <font>
      <color theme="1"/>
      <name val="Arial"/>
    </font>
    <font>
      <b/>
      <color theme="1"/>
      <name val="&quot;Century Gothic&quot;"/>
    </font>
    <font>
      <b/>
      <color theme="1"/>
      <name val="Arial"/>
    </font>
    <font>
      <i/>
      <color theme="1"/>
      <name val="&quot;Century Gothic&quot;"/>
    </font>
    <font>
      <b/>
      <i/>
      <color theme="1"/>
      <name val="&quot;Century Gothic&quot;"/>
    </font>
    <font>
      <b/>
      <sz val="10.0"/>
      <color rgb="FF000000"/>
      <name val="Century Gothic"/>
    </font>
    <font>
      <sz val="10.0"/>
      <color rgb="FF000000"/>
      <name val="Century Gothic"/>
    </font>
    <font>
      <color theme="1"/>
      <name val="&quot;Century Gothic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5" numFmtId="0" xfId="0" applyBorder="1" applyFont="1"/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0" fillId="2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/>
    </xf>
    <xf borderId="0" fillId="2" fontId="6" numFmtId="0" xfId="0" applyAlignment="1" applyFont="1">
      <alignment horizontal="right" vertical="bottom"/>
    </xf>
    <xf borderId="0" fillId="2" fontId="7" numFmtId="0" xfId="0" applyAlignment="1" applyFont="1">
      <alignment vertical="bottom"/>
    </xf>
    <xf borderId="0" fillId="2" fontId="8" numFmtId="0" xfId="0" applyAlignment="1" applyFont="1">
      <alignment horizontal="left" readingOrder="0"/>
    </xf>
    <xf quotePrefix="1" borderId="0" fillId="0" fontId="7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left" readingOrder="0" vertical="bottom"/>
    </xf>
    <xf borderId="2" fillId="0" fontId="1" numFmtId="0" xfId="0" applyAlignment="1" applyBorder="1" applyFont="1">
      <alignment vertical="bottom"/>
    </xf>
    <xf borderId="0" fillId="0" fontId="1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1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vertical="bottom"/>
    </xf>
    <xf borderId="0" fillId="0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horizontal="right" readingOrder="0" vertical="center"/>
    </xf>
    <xf borderId="0" fillId="3" fontId="13" numFmtId="0" xfId="0" applyAlignment="1" applyFill="1" applyFont="1">
      <alignment horizontal="center" readingOrder="0" vertical="center"/>
    </xf>
    <xf borderId="0" fillId="0" fontId="14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0" fontId="15" numFmtId="0" xfId="0" applyAlignment="1" applyBorder="1" applyFont="1">
      <alignment horizontal="left" readingOrder="0" vertical="center"/>
    </xf>
    <xf borderId="2" fillId="0" fontId="5" numFmtId="0" xfId="0" applyBorder="1" applyFont="1"/>
    <xf borderId="2" fillId="0" fontId="16" numFmtId="0" xfId="0" applyAlignment="1" applyBorder="1" applyFont="1">
      <alignment horizontal="left" readingOrder="0" shrinkToFit="0" vertical="center" wrapText="1"/>
    </xf>
    <xf borderId="2" fillId="0" fontId="4" numFmtId="165" xfId="0" applyAlignment="1" applyBorder="1" applyFont="1" applyNumberFormat="1">
      <alignment horizontal="left" readingOrder="0" shrinkToFit="0" vertical="center" wrapText="1"/>
    </xf>
    <xf borderId="0" fillId="0" fontId="17" numFmtId="0" xfId="0" applyFont="1"/>
    <xf borderId="0" fillId="0" fontId="17" numFmtId="165" xfId="0" applyFont="1" applyNumberFormat="1"/>
    <xf borderId="0" fillId="0" fontId="17" numFmtId="0" xfId="0" applyAlignment="1" applyFont="1">
      <alignment readingOrder="0"/>
    </xf>
    <xf borderId="0" fillId="0" fontId="17" numFmtId="165" xfId="0" applyAlignment="1" applyFont="1" applyNumberFormat="1">
      <alignment readingOrder="0"/>
    </xf>
    <xf borderId="0" fillId="0" fontId="18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166" xfId="0" applyAlignment="1" applyBorder="1" applyFont="1" applyNumberFormat="1">
      <alignment horizontal="center" readingOrder="0" vertical="center"/>
    </xf>
    <xf borderId="2" fillId="3" fontId="13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vertical="center"/>
    </xf>
    <xf borderId="0" fillId="0" fontId="14" numFmtId="166" xfId="0" applyAlignment="1" applyFont="1" applyNumberFormat="1">
      <alignment horizontal="center" readingOrder="0" vertical="center"/>
    </xf>
    <xf borderId="2" fillId="0" fontId="15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readingOrder="0" shrinkToFit="0" wrapText="1"/>
    </xf>
    <xf borderId="2" fillId="0" fontId="19" numFmtId="0" xfId="0" applyAlignment="1" applyBorder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shrinkToFit="0" wrapText="1"/>
    </xf>
    <xf borderId="0" fillId="0" fontId="20" numFmtId="0" xfId="0" applyAlignment="1" applyFont="1">
      <alignment vertical="bottom"/>
    </xf>
    <xf borderId="0" fillId="2" fontId="21" numFmtId="0" xfId="0" applyAlignment="1" applyFont="1">
      <alignment horizontal="center" vertical="bottom"/>
    </xf>
    <xf borderId="3" fillId="0" fontId="5" numFmtId="0" xfId="0" applyBorder="1" applyFont="1"/>
    <xf borderId="1" fillId="2" fontId="21" numFmtId="166" xfId="0" applyAlignment="1" applyBorder="1" applyFont="1" applyNumberFormat="1">
      <alignment horizontal="center" vertical="bottom"/>
    </xf>
    <xf borderId="4" fillId="0" fontId="5" numFmtId="0" xfId="0" applyBorder="1" applyFont="1"/>
    <xf borderId="1" fillId="0" fontId="22" numFmtId="166" xfId="0" applyAlignment="1" applyBorder="1" applyFont="1" applyNumberFormat="1">
      <alignment horizontal="center"/>
    </xf>
    <xf borderId="5" fillId="2" fontId="21" numFmtId="1" xfId="0" applyAlignment="1" applyBorder="1" applyFont="1" applyNumberFormat="1">
      <alignment vertical="bottom"/>
    </xf>
    <xf borderId="6" fillId="2" fontId="23" numFmtId="1" xfId="0" applyAlignment="1" applyBorder="1" applyFont="1" applyNumberFormat="1">
      <alignment horizontal="center" shrinkToFit="0" vertical="bottom" wrapText="1"/>
    </xf>
    <xf borderId="6" fillId="2" fontId="20" numFmtId="165" xfId="0" applyAlignment="1" applyBorder="1" applyFont="1" applyNumberFormat="1">
      <alignment vertical="bottom"/>
    </xf>
    <xf borderId="7" fillId="2" fontId="21" numFmtId="166" xfId="0" applyAlignment="1" applyBorder="1" applyFont="1" applyNumberFormat="1">
      <alignment horizontal="center" vertical="bottom"/>
    </xf>
    <xf borderId="6" fillId="2" fontId="24" numFmtId="166" xfId="0" applyAlignment="1" applyBorder="1" applyFont="1" applyNumberFormat="1">
      <alignment horizontal="center" shrinkToFit="0" vertical="bottom" wrapText="1"/>
    </xf>
    <xf borderId="6" fillId="2" fontId="23" numFmtId="166" xfId="0" applyAlignment="1" applyBorder="1" applyFont="1" applyNumberFormat="1">
      <alignment horizontal="center" shrinkToFit="0" vertical="bottom" wrapText="1"/>
    </xf>
    <xf borderId="0" fillId="2" fontId="20" numFmtId="0" xfId="0" applyAlignment="1" applyFont="1">
      <alignment vertical="bottom"/>
    </xf>
    <xf borderId="8" fillId="2" fontId="21" numFmtId="166" xfId="0" applyAlignment="1" applyBorder="1" applyFont="1" applyNumberFormat="1">
      <alignment vertical="bottom"/>
    </xf>
    <xf borderId="9" fillId="2" fontId="23" numFmtId="1" xfId="0" applyAlignment="1" applyBorder="1" applyFont="1" applyNumberFormat="1">
      <alignment horizontal="center" shrinkToFit="0" vertical="bottom" wrapText="1"/>
    </xf>
    <xf borderId="9" fillId="2" fontId="20" numFmtId="165" xfId="0" applyAlignment="1" applyBorder="1" applyFont="1" applyNumberFormat="1">
      <alignment vertical="bottom"/>
    </xf>
    <xf borderId="10" fillId="0" fontId="5" numFmtId="0" xfId="0" applyBorder="1" applyFont="1"/>
    <xf borderId="9" fillId="0" fontId="5" numFmtId="0" xfId="0" applyBorder="1" applyFont="1"/>
    <xf borderId="9" fillId="2" fontId="24" numFmtId="166" xfId="0" applyAlignment="1" applyBorder="1" applyFont="1" applyNumberFormat="1">
      <alignment horizontal="center" shrinkToFit="0" vertical="bottom" wrapText="1"/>
    </xf>
    <xf borderId="9" fillId="2" fontId="23" numFmtId="166" xfId="0" applyAlignment="1" applyBorder="1" applyFont="1" applyNumberFormat="1">
      <alignment horizontal="center" shrinkToFit="0" vertical="bottom" wrapText="1"/>
    </xf>
    <xf borderId="3" fillId="2" fontId="20" numFmtId="1" xfId="0" applyAlignment="1" applyBorder="1" applyFont="1" applyNumberFormat="1">
      <alignment vertical="bottom"/>
    </xf>
    <xf borderId="8" fillId="2" fontId="21" numFmtId="1" xfId="0" applyAlignment="1" applyBorder="1" applyFont="1" applyNumberFormat="1">
      <alignment vertical="bottom"/>
    </xf>
    <xf borderId="8" fillId="2" fontId="20" numFmtId="166" xfId="0" applyAlignment="1" applyBorder="1" applyFont="1" applyNumberFormat="1">
      <alignment vertical="bottom"/>
    </xf>
    <xf borderId="9" fillId="2" fontId="20" numFmtId="166" xfId="0" applyAlignment="1" applyBorder="1" applyFont="1" applyNumberFormat="1">
      <alignment vertical="bottom"/>
    </xf>
    <xf borderId="0" fillId="2" fontId="20" numFmtId="165" xfId="0" applyAlignment="1" applyFont="1" applyNumberFormat="1">
      <alignment vertical="bottom"/>
    </xf>
    <xf borderId="2" fillId="2" fontId="20" numFmtId="0" xfId="0" applyAlignment="1" applyBorder="1" applyFont="1">
      <alignment vertical="bottom"/>
    </xf>
    <xf borderId="9" fillId="2" fontId="21" numFmtId="1" xfId="0" applyAlignment="1" applyBorder="1" applyFont="1" applyNumberFormat="1">
      <alignment horizontal="center" vertical="bottom"/>
    </xf>
    <xf borderId="11" fillId="2" fontId="21" numFmtId="166" xfId="0" applyAlignment="1" applyBorder="1" applyFont="1" applyNumberFormat="1">
      <alignment horizontal="center" vertical="bottom"/>
    </xf>
    <xf borderId="3" fillId="2" fontId="21" numFmtId="166" xfId="0" applyAlignment="1" applyBorder="1" applyFont="1" applyNumberFormat="1">
      <alignment horizontal="center" vertical="bottom"/>
    </xf>
    <xf borderId="8" fillId="2" fontId="21" numFmtId="166" xfId="0" applyAlignment="1" applyBorder="1" applyFont="1" applyNumberFormat="1">
      <alignment horizontal="center" vertical="bottom"/>
    </xf>
    <xf borderId="9" fillId="2" fontId="21" numFmtId="166" xfId="0" applyAlignment="1" applyBorder="1" applyFont="1" applyNumberFormat="1">
      <alignment horizontal="center" vertical="bottom"/>
    </xf>
    <xf borderId="9" fillId="2" fontId="21" numFmtId="165" xfId="0" applyAlignment="1" applyBorder="1" applyFont="1" applyNumberFormat="1">
      <alignment horizontal="center" vertical="bottom"/>
    </xf>
    <xf borderId="5" fillId="2" fontId="25" numFmtId="0" xfId="0" applyBorder="1" applyFont="1"/>
    <xf borderId="5" fillId="2" fontId="25" numFmtId="0" xfId="0" applyAlignment="1" applyBorder="1" applyFont="1">
      <alignment horizontal="center"/>
    </xf>
    <xf borderId="5" fillId="2" fontId="21" numFmtId="0" xfId="0" applyAlignment="1" applyBorder="1" applyFont="1">
      <alignment horizontal="center" vertical="bottom"/>
    </xf>
    <xf borderId="6" fillId="2" fontId="21" numFmtId="0" xfId="0" applyAlignment="1" applyBorder="1" applyFont="1">
      <alignment horizontal="center" vertical="bottom"/>
    </xf>
    <xf borderId="6" fillId="2" fontId="21" numFmtId="166" xfId="0" applyAlignment="1" applyBorder="1" applyFont="1" applyNumberFormat="1">
      <alignment horizontal="center" vertical="bottom"/>
    </xf>
    <xf borderId="5" fillId="2" fontId="21" numFmtId="166" xfId="0" applyAlignment="1" applyBorder="1" applyFont="1" applyNumberFormat="1">
      <alignment horizontal="center" vertical="bottom"/>
    </xf>
    <xf borderId="8" fillId="0" fontId="5" numFmtId="0" xfId="0" applyBorder="1" applyFont="1"/>
    <xf borderId="8" fillId="2" fontId="25" numFmtId="165" xfId="0" applyAlignment="1" applyBorder="1" applyFont="1" applyNumberFormat="1">
      <alignment horizontal="center" readingOrder="0" vertical="center"/>
    </xf>
    <xf borderId="0" fillId="2" fontId="26" numFmtId="165" xfId="0" applyFont="1" applyNumberFormat="1"/>
    <xf borderId="5" fillId="2" fontId="26" numFmtId="0" xfId="0" applyAlignment="1" applyBorder="1" applyFont="1">
      <alignment readingOrder="0" shrinkToFit="0" vertical="center" wrapText="1"/>
    </xf>
    <xf borderId="8" fillId="2" fontId="20" numFmtId="1" xfId="0" applyAlignment="1" applyBorder="1" applyFont="1" applyNumberFormat="1">
      <alignment vertical="bottom"/>
    </xf>
    <xf borderId="9" fillId="2" fontId="20" numFmtId="1" xfId="0" applyAlignment="1" applyBorder="1" applyFont="1" applyNumberFormat="1">
      <alignment vertical="bottom"/>
    </xf>
    <xf borderId="9" fillId="2" fontId="20" numFmtId="0" xfId="0" applyAlignment="1" applyBorder="1" applyFont="1">
      <alignment vertical="bottom"/>
    </xf>
    <xf borderId="9" fillId="2" fontId="27" numFmtId="166" xfId="0" applyAlignment="1" applyBorder="1" applyFont="1" applyNumberFormat="1">
      <alignment shrinkToFit="0" vertical="bottom" wrapText="1"/>
    </xf>
    <xf borderId="8" fillId="2" fontId="27" numFmtId="1" xfId="0" applyAlignment="1" applyBorder="1" applyFont="1" applyNumberFormat="1">
      <alignment horizontal="center" vertical="bottom"/>
    </xf>
    <xf borderId="9" fillId="2" fontId="27" numFmtId="1" xfId="0" applyAlignment="1" applyBorder="1" applyFont="1" applyNumberFormat="1">
      <alignment horizontal="center" vertical="bottom"/>
    </xf>
    <xf borderId="9" fillId="2" fontId="27" numFmtId="1" xfId="0" applyAlignment="1" applyBorder="1" applyFont="1" applyNumberFormat="1">
      <alignment horizontal="right" vertical="bottom"/>
    </xf>
    <xf borderId="8" fillId="2" fontId="27" numFmtId="0" xfId="0" applyAlignment="1" applyBorder="1" applyFont="1">
      <alignment horizontal="right" vertical="bottom"/>
    </xf>
    <xf borderId="9" fillId="2" fontId="27" numFmtId="0" xfId="0" applyAlignment="1" applyBorder="1" applyFont="1">
      <alignment horizontal="right" vertical="bottom"/>
    </xf>
    <xf borderId="9" fillId="2" fontId="27" numFmtId="167" xfId="0" applyAlignment="1" applyBorder="1" applyFont="1" applyNumberFormat="1">
      <alignment horizontal="center" vertical="bottom"/>
    </xf>
    <xf borderId="8" fillId="2" fontId="27" numFmtId="166" xfId="0" applyAlignment="1" applyBorder="1" applyFont="1" applyNumberFormat="1">
      <alignment horizontal="right" vertical="bottom"/>
    </xf>
    <xf borderId="9" fillId="2" fontId="27" numFmtId="166" xfId="0" applyAlignment="1" applyBorder="1" applyFont="1" applyNumberFormat="1">
      <alignment horizontal="right" vertical="bottom"/>
    </xf>
    <xf borderId="5" fillId="2" fontId="26" numFmtId="165" xfId="0" applyBorder="1" applyFont="1" applyNumberFormat="1"/>
    <xf borderId="8" fillId="2" fontId="27" numFmtId="1" xfId="0" applyAlignment="1" applyBorder="1" applyFont="1" applyNumberFormat="1">
      <alignment shrinkToFit="0" vertical="bottom" wrapText="1"/>
    </xf>
    <xf borderId="9" fillId="2" fontId="27" numFmtId="1" xfId="0" applyAlignment="1" applyBorder="1" applyFont="1" applyNumberFormat="1">
      <alignment shrinkToFit="0" vertical="bottom" wrapText="1"/>
    </xf>
    <xf borderId="9" fillId="2" fontId="27" numFmtId="166" xfId="0" applyAlignment="1" applyBorder="1" applyFont="1" applyNumberFormat="1">
      <alignment vertical="bottom"/>
    </xf>
    <xf borderId="0" fillId="2" fontId="25" numFmtId="0" xfId="0" applyAlignment="1" applyFont="1">
      <alignment horizontal="center" readingOrder="0" shrinkToFit="0" vertical="center" wrapText="1"/>
    </xf>
    <xf borderId="5" fillId="2" fontId="26" numFmtId="0" xfId="0" applyAlignment="1" applyBorder="1" applyFont="1">
      <alignment readingOrder="0"/>
    </xf>
    <xf borderId="5" fillId="2" fontId="26" numFmtId="0" xfId="0" applyAlignment="1" applyBorder="1" applyFont="1">
      <alignment readingOrder="0" shrinkToFit="0" wrapText="1"/>
    </xf>
    <xf borderId="0" fillId="2" fontId="26" numFmtId="0" xfId="0" applyFont="1"/>
    <xf borderId="0" fillId="2" fontId="26" numFmtId="0" xfId="0" applyFont="1"/>
    <xf borderId="5" fillId="2" fontId="26" numFmtId="0" xfId="0" applyBorder="1" applyFont="1"/>
    <xf borderId="5" fillId="2" fontId="25" numFmtId="0" xfId="0" applyAlignment="1" applyBorder="1" applyFont="1">
      <alignment horizontal="center" readingOrder="0"/>
    </xf>
    <xf borderId="5" fillId="2" fontId="25" numFmtId="1" xfId="0" applyAlignment="1" applyBorder="1" applyFont="1" applyNumberFormat="1">
      <alignment horizontal="center" readingOrder="0"/>
    </xf>
    <xf borderId="5" fillId="2" fontId="26" numFmtId="0" xfId="0" applyAlignment="1" applyBorder="1" applyFont="1">
      <alignment vertical="bottom"/>
    </xf>
    <xf borderId="5" fillId="2" fontId="25" numFmtId="0" xfId="0" applyAlignment="1" applyBorder="1" applyFont="1">
      <alignment horizontal="center" vertical="bottom"/>
    </xf>
    <xf borderId="5" fillId="2" fontId="25" numFmtId="0" xfId="0" applyAlignment="1" applyBorder="1" applyFont="1">
      <alignment horizontal="center" shrinkToFit="0" wrapText="1"/>
    </xf>
    <xf borderId="5" fillId="2" fontId="25" numFmtId="167" xfId="0" applyAlignment="1" applyBorder="1" applyFont="1" applyNumberFormat="1">
      <alignment horizontal="center" shrinkToFit="0" wrapText="1"/>
    </xf>
    <xf borderId="5" fillId="2" fontId="25" numFmtId="165" xfId="0" applyAlignment="1" applyBorder="1" applyFont="1" applyNumberFormat="1">
      <alignment horizontal="right" readingOrder="0" shrinkToFit="0" vertical="center" wrapText="1"/>
    </xf>
    <xf borderId="5" fillId="2" fontId="26" numFmtId="0" xfId="0" applyAlignment="1" applyBorder="1" applyFont="1">
      <alignment horizontal="center" vertical="bottom"/>
    </xf>
    <xf borderId="12" fillId="2" fontId="25" numFmtId="0" xfId="0" applyAlignment="1" applyBorder="1" applyFont="1">
      <alignment horizontal="center" readingOrder="0"/>
    </xf>
    <xf borderId="13" fillId="0" fontId="5" numFmtId="0" xfId="0" applyBorder="1" applyFont="1"/>
    <xf borderId="6" fillId="0" fontId="5" numFmtId="0" xfId="0" applyBorder="1" applyFont="1"/>
    <xf borderId="5" fillId="2" fontId="26" numFmtId="0" xfId="0" applyAlignment="1" applyBorder="1" applyFont="1">
      <alignment horizontal="center"/>
    </xf>
    <xf borderId="12" fillId="2" fontId="25" numFmtId="0" xfId="0" applyAlignment="1" applyBorder="1" applyFont="1">
      <alignment horizontal="center"/>
    </xf>
    <xf borderId="5" fillId="2" fontId="25" numFmtId="0" xfId="0" applyAlignment="1" applyBorder="1" applyFont="1">
      <alignment horizontal="left" readingOrder="0"/>
    </xf>
    <xf borderId="0" fillId="2" fontId="26" numFmtId="166" xfId="0" applyFont="1" applyNumberFormat="1"/>
    <xf borderId="5" fillId="2" fontId="26" numFmtId="0" xfId="0" applyAlignment="1" applyBorder="1" applyFont="1">
      <alignment horizontal="left" readingOrder="0"/>
    </xf>
    <xf borderId="5" fillId="2" fontId="26" numFmtId="0" xfId="0" applyAlignment="1" applyBorder="1" applyFont="1">
      <alignment horizontal="center" readingOrder="0"/>
    </xf>
    <xf borderId="5" fillId="2" fontId="26" numFmtId="0" xfId="0" applyAlignment="1" applyBorder="1" applyFont="1">
      <alignment horizontal="left"/>
    </xf>
    <xf borderId="5" fillId="2" fontId="2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771525</xdr:colOff>
      <xdr:row>0</xdr:row>
      <xdr:rowOff>152400</xdr:rowOff>
    </xdr:from>
    <xdr:ext cx="99060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otility.com/" TargetMode="External"/><Relationship Id="rId2" Type="http://schemas.openxmlformats.org/officeDocument/2006/relationships/hyperlink" Target="https://www.laltramusica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14.25"/>
    <col customWidth="1" min="3" max="3" width="19.25"/>
    <col customWidth="1" min="4" max="5" width="8.75"/>
    <col customWidth="1" min="6" max="6" width="14.25"/>
    <col customWidth="1" min="7" max="7" width="33.38"/>
  </cols>
  <sheetData>
    <row r="1">
      <c r="A1" s="1"/>
      <c r="B1" s="2"/>
      <c r="C1" s="2"/>
      <c r="D1" s="2"/>
      <c r="E1" s="2"/>
      <c r="F1" s="2"/>
      <c r="G1" s="2"/>
    </row>
    <row r="2">
      <c r="A2" s="1"/>
      <c r="B2" s="3" t="s">
        <v>0</v>
      </c>
    </row>
    <row r="3">
      <c r="A3" s="1"/>
      <c r="B3" s="4" t="s">
        <v>1</v>
      </c>
    </row>
    <row r="4">
      <c r="A4" s="1"/>
      <c r="B4" s="5"/>
    </row>
    <row r="5">
      <c r="A5" s="1"/>
      <c r="B5" s="5"/>
    </row>
    <row r="6">
      <c r="A6" s="6"/>
      <c r="B6" s="7"/>
      <c r="C6" s="7"/>
      <c r="D6" s="7"/>
      <c r="E6" s="7"/>
      <c r="F6" s="7"/>
      <c r="G6" s="7"/>
    </row>
    <row r="7">
      <c r="A7" s="8" t="s">
        <v>2</v>
      </c>
      <c r="B7" s="9" t="s">
        <v>3</v>
      </c>
      <c r="C7" s="10"/>
      <c r="E7" s="10" t="s">
        <v>4</v>
      </c>
      <c r="F7" s="11" t="s">
        <v>5</v>
      </c>
    </row>
    <row r="8">
      <c r="A8" s="8" t="s">
        <v>6</v>
      </c>
      <c r="B8" s="12">
        <v>1.0896740965E10</v>
      </c>
      <c r="C8" s="8"/>
      <c r="E8" s="8" t="s">
        <v>6</v>
      </c>
      <c r="F8" s="13">
        <v>6.248450964E9</v>
      </c>
    </row>
    <row r="9">
      <c r="A9" s="14" t="s">
        <v>7</v>
      </c>
      <c r="B9" s="15" t="s">
        <v>8</v>
      </c>
      <c r="C9" s="14"/>
      <c r="E9" s="14" t="s">
        <v>7</v>
      </c>
      <c r="F9" s="13" t="s">
        <v>9</v>
      </c>
    </row>
    <row r="10">
      <c r="A10" s="8" t="s">
        <v>10</v>
      </c>
      <c r="B10" s="9" t="s">
        <v>11</v>
      </c>
      <c r="C10" s="8"/>
      <c r="E10" s="8" t="s">
        <v>10</v>
      </c>
      <c r="F10" s="13">
        <v>6.248450964E9</v>
      </c>
    </row>
    <row r="11">
      <c r="A11" s="8" t="s">
        <v>12</v>
      </c>
      <c r="B11" s="9" t="s">
        <v>13</v>
      </c>
      <c r="C11" s="8"/>
      <c r="E11" s="8" t="s">
        <v>12</v>
      </c>
      <c r="F11" s="11" t="s">
        <v>14</v>
      </c>
    </row>
    <row r="12">
      <c r="A12" s="8"/>
      <c r="B12" s="9" t="s">
        <v>15</v>
      </c>
      <c r="C12" s="8"/>
      <c r="E12" s="8"/>
      <c r="F12" s="16" t="s">
        <v>16</v>
      </c>
    </row>
    <row r="13">
      <c r="A13" s="8" t="s">
        <v>17</v>
      </c>
      <c r="B13" s="17" t="s">
        <v>18</v>
      </c>
      <c r="C13" s="8"/>
      <c r="E13" s="8" t="s">
        <v>17</v>
      </c>
      <c r="F13" s="11" t="s">
        <v>9</v>
      </c>
    </row>
    <row r="14">
      <c r="A14" s="8" t="s">
        <v>19</v>
      </c>
      <c r="B14" s="9" t="s">
        <v>20</v>
      </c>
      <c r="C14" s="8"/>
      <c r="E14" s="8" t="s">
        <v>19</v>
      </c>
      <c r="F14" s="11" t="s">
        <v>21</v>
      </c>
    </row>
    <row r="15">
      <c r="A15" s="10" t="s">
        <v>22</v>
      </c>
      <c r="B15" s="18" t="s">
        <v>23</v>
      </c>
      <c r="C15" s="10"/>
      <c r="E15" s="10" t="s">
        <v>22</v>
      </c>
      <c r="F15" s="19" t="s">
        <v>24</v>
      </c>
    </row>
    <row r="16">
      <c r="A16" s="20"/>
      <c r="B16" s="20"/>
      <c r="C16" s="20"/>
      <c r="D16" s="20"/>
      <c r="E16" s="20"/>
      <c r="F16" s="20"/>
      <c r="G16" s="20"/>
    </row>
    <row r="17">
      <c r="B17" s="1"/>
      <c r="C17" s="1"/>
      <c r="D17" s="1"/>
      <c r="E17" s="1"/>
      <c r="F17" s="1"/>
      <c r="G17" s="1"/>
    </row>
    <row r="18">
      <c r="A18" s="21" t="s">
        <v>25</v>
      </c>
      <c r="B18" s="22">
        <f>TODAY()</f>
        <v>46014</v>
      </c>
      <c r="C18" s="2"/>
      <c r="D18" s="23"/>
      <c r="E18" s="23" t="s">
        <v>26</v>
      </c>
      <c r="F18" s="24">
        <f>B18+15</f>
        <v>46029</v>
      </c>
    </row>
    <row r="19">
      <c r="A19" s="25"/>
      <c r="B19" s="26"/>
      <c r="C19" s="27"/>
      <c r="D19" s="27"/>
      <c r="E19" s="27"/>
      <c r="F19" s="27"/>
      <c r="G19" s="27"/>
    </row>
    <row r="20">
      <c r="A20" s="28" t="s">
        <v>27</v>
      </c>
    </row>
    <row r="21">
      <c r="A21" s="29" t="s">
        <v>28</v>
      </c>
    </row>
    <row r="22">
      <c r="A22" s="30"/>
      <c r="B22" s="26"/>
      <c r="C22" s="27"/>
      <c r="D22" s="27"/>
      <c r="E22" s="27"/>
      <c r="F22" s="27"/>
      <c r="G22" s="27"/>
    </row>
    <row r="23">
      <c r="A23" s="28" t="s">
        <v>29</v>
      </c>
    </row>
    <row r="24">
      <c r="A24" s="31" t="s">
        <v>30</v>
      </c>
      <c r="B24" s="31" t="s">
        <v>31</v>
      </c>
      <c r="C24" s="32"/>
      <c r="D24" s="32"/>
      <c r="E24" s="32"/>
      <c r="F24" s="32"/>
      <c r="G24" s="32"/>
    </row>
    <row r="25">
      <c r="A25" s="33" t="s">
        <v>32</v>
      </c>
      <c r="B25" s="34" t="s">
        <v>33</v>
      </c>
      <c r="C25" s="32"/>
      <c r="D25" s="32"/>
      <c r="E25" s="32"/>
      <c r="F25" s="32"/>
      <c r="G25" s="32"/>
    </row>
    <row r="26">
      <c r="A26" s="33" t="s">
        <v>34</v>
      </c>
      <c r="B26" s="34" t="s">
        <v>35</v>
      </c>
      <c r="C26" s="32"/>
      <c r="D26" s="32"/>
      <c r="E26" s="32"/>
      <c r="F26" s="32"/>
      <c r="G26" s="32"/>
    </row>
    <row r="27">
      <c r="A27" s="33" t="s">
        <v>36</v>
      </c>
      <c r="B27" s="34"/>
      <c r="C27" s="32"/>
      <c r="D27" s="32"/>
      <c r="E27" s="32"/>
      <c r="F27" s="32"/>
      <c r="G27" s="32"/>
    </row>
    <row r="28">
      <c r="A28" s="33" t="s">
        <v>37</v>
      </c>
      <c r="B28" s="34"/>
      <c r="C28" s="32"/>
      <c r="D28" s="32"/>
      <c r="E28" s="32"/>
      <c r="F28" s="32"/>
      <c r="G28" s="32"/>
    </row>
    <row r="29">
      <c r="A29" s="33" t="s">
        <v>38</v>
      </c>
      <c r="B29" s="34"/>
      <c r="C29" s="32"/>
      <c r="D29" s="32"/>
      <c r="E29" s="32"/>
      <c r="F29" s="32"/>
      <c r="G29" s="32"/>
    </row>
    <row r="30">
      <c r="A30" s="33" t="s">
        <v>39</v>
      </c>
      <c r="B30" s="34"/>
      <c r="C30" s="32"/>
      <c r="D30" s="32"/>
      <c r="E30" s="32"/>
      <c r="F30" s="32"/>
      <c r="G30" s="32"/>
    </row>
    <row r="31">
      <c r="A31" s="33" t="s">
        <v>40</v>
      </c>
      <c r="B31" s="34"/>
      <c r="C31" s="32"/>
      <c r="D31" s="32"/>
      <c r="E31" s="32"/>
      <c r="F31" s="32"/>
      <c r="G31" s="32"/>
    </row>
    <row r="32">
      <c r="A32" s="33" t="s">
        <v>41</v>
      </c>
      <c r="B32" s="34"/>
      <c r="C32" s="32"/>
      <c r="D32" s="32"/>
      <c r="E32" s="32"/>
      <c r="F32" s="32"/>
      <c r="G32" s="32"/>
    </row>
    <row r="33">
      <c r="A33" s="33" t="s">
        <v>42</v>
      </c>
      <c r="B33" s="34" t="s">
        <v>43</v>
      </c>
      <c r="C33" s="32"/>
      <c r="D33" s="32"/>
      <c r="E33" s="32"/>
      <c r="F33" s="32"/>
      <c r="G33" s="32"/>
    </row>
    <row r="34">
      <c r="A34" s="33" t="s">
        <v>44</v>
      </c>
      <c r="B34" s="34"/>
      <c r="C34" s="32"/>
      <c r="D34" s="32"/>
      <c r="E34" s="32"/>
      <c r="F34" s="32"/>
      <c r="G34" s="32"/>
    </row>
    <row r="35">
      <c r="A35" s="33" t="s">
        <v>45</v>
      </c>
      <c r="B35" s="34" t="s">
        <v>46</v>
      </c>
      <c r="C35" s="32"/>
      <c r="D35" s="32"/>
      <c r="E35" s="32"/>
      <c r="F35" s="32"/>
      <c r="G35" s="32"/>
    </row>
    <row r="36">
      <c r="A36" s="33" t="s">
        <v>47</v>
      </c>
      <c r="B36" s="34" t="s">
        <v>48</v>
      </c>
      <c r="C36" s="32"/>
      <c r="D36" s="32"/>
      <c r="E36" s="32"/>
      <c r="F36" s="32"/>
      <c r="G36" s="32"/>
    </row>
    <row r="37">
      <c r="A37" s="33" t="s">
        <v>49</v>
      </c>
      <c r="B37" s="34" t="s">
        <v>50</v>
      </c>
      <c r="C37" s="32"/>
      <c r="D37" s="32"/>
      <c r="E37" s="32"/>
      <c r="F37" s="32"/>
      <c r="G37" s="32"/>
    </row>
    <row r="38">
      <c r="A38" s="33" t="s">
        <v>51</v>
      </c>
      <c r="B38" s="34" t="s">
        <v>52</v>
      </c>
      <c r="C38" s="32"/>
      <c r="D38" s="32"/>
      <c r="E38" s="32"/>
      <c r="F38" s="32"/>
      <c r="G38" s="32"/>
    </row>
    <row r="39">
      <c r="A39" s="33" t="s">
        <v>53</v>
      </c>
      <c r="B39" s="34" t="s">
        <v>54</v>
      </c>
      <c r="C39" s="32"/>
      <c r="D39" s="32"/>
      <c r="E39" s="32"/>
      <c r="F39" s="32"/>
      <c r="G39" s="32"/>
    </row>
    <row r="40">
      <c r="A40" s="33" t="s">
        <v>55</v>
      </c>
      <c r="B40" s="34" t="s">
        <v>56</v>
      </c>
      <c r="C40" s="32"/>
      <c r="D40" s="32"/>
      <c r="E40" s="32"/>
      <c r="F40" s="32"/>
      <c r="G40" s="32"/>
    </row>
    <row r="41">
      <c r="A41" s="33" t="s">
        <v>57</v>
      </c>
      <c r="B41" s="34" t="s">
        <v>58</v>
      </c>
      <c r="C41" s="32"/>
      <c r="D41" s="32"/>
      <c r="E41" s="32"/>
      <c r="F41" s="32"/>
      <c r="G41" s="32"/>
    </row>
    <row r="42">
      <c r="A42" s="33" t="s">
        <v>59</v>
      </c>
      <c r="B42" s="34" t="s">
        <v>60</v>
      </c>
      <c r="C42" s="32"/>
      <c r="D42" s="32"/>
      <c r="E42" s="32"/>
      <c r="F42" s="32"/>
      <c r="G42" s="32"/>
    </row>
    <row r="43">
      <c r="A43" s="33" t="s">
        <v>61</v>
      </c>
      <c r="B43" s="34" t="s">
        <v>62</v>
      </c>
      <c r="C43" s="32"/>
      <c r="D43" s="32"/>
      <c r="E43" s="32"/>
      <c r="F43" s="32"/>
      <c r="G43" s="32"/>
    </row>
    <row r="44">
      <c r="A44" s="33" t="s">
        <v>63</v>
      </c>
      <c r="B44" s="34" t="s">
        <v>64</v>
      </c>
      <c r="C44" s="32"/>
      <c r="D44" s="32"/>
      <c r="E44" s="32"/>
      <c r="F44" s="32"/>
      <c r="G44" s="32"/>
    </row>
    <row r="45">
      <c r="A45" s="33" t="s">
        <v>65</v>
      </c>
      <c r="B45" s="34" t="s">
        <v>66</v>
      </c>
      <c r="C45" s="32"/>
      <c r="D45" s="32"/>
      <c r="E45" s="32"/>
      <c r="F45" s="32"/>
      <c r="G45" s="32"/>
    </row>
    <row r="46">
      <c r="A46" s="33" t="s">
        <v>67</v>
      </c>
      <c r="B46" s="34" t="s">
        <v>68</v>
      </c>
      <c r="C46" s="32"/>
      <c r="D46" s="32"/>
      <c r="E46" s="32"/>
      <c r="F46" s="32"/>
      <c r="G46" s="32"/>
    </row>
    <row r="47">
      <c r="A47" s="35"/>
      <c r="B47" s="35"/>
      <c r="C47" s="35"/>
      <c r="D47" s="35"/>
      <c r="E47" s="36"/>
      <c r="F47" s="36"/>
      <c r="G47" s="36"/>
    </row>
    <row r="48">
      <c r="A48" s="37" t="s">
        <v>69</v>
      </c>
      <c r="B48" s="37" t="s">
        <v>70</v>
      </c>
      <c r="C48" s="35"/>
      <c r="D48" s="35"/>
      <c r="E48" s="36"/>
      <c r="F48" s="36"/>
      <c r="G48" s="36"/>
    </row>
    <row r="49">
      <c r="A49" s="37" t="s">
        <v>71</v>
      </c>
      <c r="B49" s="37"/>
      <c r="C49" s="37"/>
      <c r="D49" s="37"/>
      <c r="E49" s="38"/>
      <c r="F49" s="38"/>
      <c r="G49" s="38"/>
    </row>
    <row r="50">
      <c r="A50" s="37" t="s">
        <v>72</v>
      </c>
      <c r="B50" s="37" t="s">
        <v>73</v>
      </c>
      <c r="C50" s="37" t="s">
        <v>74</v>
      </c>
      <c r="D50" s="37" t="s">
        <v>75</v>
      </c>
      <c r="E50" s="38" t="s">
        <v>76</v>
      </c>
      <c r="F50" s="38" t="s">
        <v>77</v>
      </c>
      <c r="G50" s="38" t="s">
        <v>78</v>
      </c>
    </row>
    <row r="51">
      <c r="A51" s="37" t="s">
        <v>79</v>
      </c>
      <c r="B51" s="35"/>
      <c r="C51" s="35"/>
      <c r="D51" s="35"/>
      <c r="E51" s="36"/>
      <c r="F51" s="36"/>
      <c r="G51" s="36"/>
    </row>
    <row r="52">
      <c r="A52" s="37" t="s">
        <v>80</v>
      </c>
      <c r="B52" s="35"/>
      <c r="C52" s="35"/>
      <c r="D52" s="35"/>
      <c r="E52" s="36"/>
      <c r="F52" s="36"/>
      <c r="G52" s="36"/>
    </row>
    <row r="53">
      <c r="A53" s="37" t="s">
        <v>81</v>
      </c>
      <c r="B53" s="37"/>
      <c r="C53" s="37"/>
      <c r="D53" s="37"/>
      <c r="E53" s="36"/>
      <c r="F53" s="36"/>
      <c r="G53" s="36"/>
    </row>
    <row r="54">
      <c r="A54" s="37"/>
      <c r="B54" s="37"/>
      <c r="C54" s="37"/>
      <c r="D54" s="37"/>
      <c r="E54" s="36"/>
      <c r="F54" s="36"/>
      <c r="G54" s="36"/>
    </row>
    <row r="55">
      <c r="A55" s="37" t="s">
        <v>82</v>
      </c>
      <c r="B55" s="35"/>
      <c r="C55" s="35"/>
      <c r="D55" s="35"/>
      <c r="E55" s="36"/>
      <c r="F55" s="36"/>
      <c r="G55" s="36"/>
    </row>
    <row r="56">
      <c r="A56" s="37" t="s">
        <v>83</v>
      </c>
      <c r="B56" s="35"/>
      <c r="C56" s="35"/>
      <c r="D56" s="35"/>
      <c r="E56" s="36"/>
      <c r="F56" s="36"/>
      <c r="G56" s="36"/>
    </row>
    <row r="57">
      <c r="A57" s="37" t="s">
        <v>84</v>
      </c>
      <c r="B57" s="35"/>
      <c r="C57" s="35"/>
      <c r="D57" s="35"/>
      <c r="E57" s="36"/>
      <c r="F57" s="36"/>
      <c r="G57" s="36"/>
    </row>
    <row r="58">
      <c r="A58" s="37" t="s">
        <v>85</v>
      </c>
      <c r="B58" s="35"/>
      <c r="C58" s="35"/>
      <c r="D58" s="35"/>
      <c r="E58" s="36"/>
      <c r="F58" s="36"/>
      <c r="G58" s="36"/>
    </row>
    <row r="59">
      <c r="B59" s="37"/>
      <c r="C59" s="37"/>
      <c r="D59" s="37"/>
      <c r="E59" s="36"/>
      <c r="F59" s="36"/>
      <c r="G59" s="36"/>
    </row>
    <row r="60">
      <c r="A60" s="37"/>
      <c r="B60" s="37"/>
      <c r="C60" s="37"/>
      <c r="D60" s="37"/>
      <c r="E60" s="36"/>
      <c r="F60" s="36"/>
      <c r="G60" s="36"/>
    </row>
    <row r="61">
      <c r="A61" s="37" t="s">
        <v>86</v>
      </c>
      <c r="B61" s="37"/>
      <c r="C61" s="37"/>
      <c r="D61" s="37"/>
      <c r="E61" s="36"/>
      <c r="F61" s="36"/>
      <c r="G61" s="36"/>
    </row>
    <row r="62">
      <c r="A62" s="37" t="s">
        <v>87</v>
      </c>
      <c r="B62" s="37" t="s">
        <v>88</v>
      </c>
      <c r="C62" s="37" t="s">
        <v>89</v>
      </c>
      <c r="D62" s="37" t="s">
        <v>90</v>
      </c>
      <c r="E62" s="38" t="s">
        <v>91</v>
      </c>
      <c r="F62" s="36"/>
      <c r="G62" s="36"/>
    </row>
    <row r="63">
      <c r="A63" s="37" t="s">
        <v>92</v>
      </c>
      <c r="B63" s="35"/>
      <c r="C63" s="35"/>
      <c r="D63" s="35"/>
      <c r="E63" s="36"/>
      <c r="F63" s="36"/>
      <c r="G63" s="36"/>
    </row>
    <row r="64">
      <c r="A64" s="37" t="s">
        <v>93</v>
      </c>
      <c r="B64" s="35"/>
      <c r="C64" s="35"/>
      <c r="D64" s="35"/>
      <c r="E64" s="36"/>
      <c r="F64" s="36"/>
      <c r="G64" s="36"/>
    </row>
    <row r="65">
      <c r="A65" s="37"/>
      <c r="B65" s="35"/>
      <c r="C65" s="35"/>
      <c r="D65" s="35"/>
      <c r="E65" s="36"/>
      <c r="F65" s="36"/>
      <c r="G65" s="36"/>
    </row>
    <row r="66">
      <c r="A66" s="37" t="s">
        <v>94</v>
      </c>
      <c r="B66" s="35"/>
      <c r="C66" s="35"/>
      <c r="D66" s="35"/>
      <c r="E66" s="36"/>
      <c r="F66" s="36"/>
      <c r="G66" s="36"/>
    </row>
    <row r="67">
      <c r="A67" s="37" t="s">
        <v>95</v>
      </c>
      <c r="B67" s="35"/>
      <c r="C67" s="35"/>
      <c r="D67" s="35"/>
      <c r="E67" s="36"/>
      <c r="F67" s="36"/>
      <c r="G67" s="36"/>
    </row>
    <row r="68">
      <c r="A68" s="35"/>
      <c r="B68" s="35"/>
      <c r="C68" s="35"/>
      <c r="D68" s="35"/>
      <c r="E68" s="36"/>
      <c r="F68" s="36"/>
      <c r="G68" s="36"/>
    </row>
    <row r="69">
      <c r="A69" s="37" t="s">
        <v>96</v>
      </c>
      <c r="B69" s="35"/>
      <c r="C69" s="35"/>
      <c r="D69" s="35"/>
      <c r="E69" s="36"/>
      <c r="F69" s="36"/>
      <c r="G69" s="36"/>
    </row>
    <row r="70">
      <c r="A70" s="37" t="s">
        <v>97</v>
      </c>
      <c r="B70" s="35"/>
      <c r="C70" s="35"/>
      <c r="D70" s="35"/>
      <c r="E70" s="36"/>
      <c r="F70" s="36"/>
      <c r="G70" s="36"/>
    </row>
    <row r="71">
      <c r="A71" s="35"/>
      <c r="B71" s="35"/>
      <c r="C71" s="35"/>
      <c r="D71" s="35"/>
      <c r="E71" s="36"/>
      <c r="F71" s="36"/>
      <c r="G71" s="36"/>
    </row>
    <row r="72">
      <c r="A72" s="37" t="s">
        <v>98</v>
      </c>
      <c r="B72" s="37" t="s">
        <v>99</v>
      </c>
      <c r="C72" s="35"/>
      <c r="D72" s="35"/>
      <c r="E72" s="36"/>
      <c r="F72" s="36"/>
      <c r="G72" s="36"/>
    </row>
    <row r="73">
      <c r="A73" s="35"/>
      <c r="B73" s="35"/>
      <c r="C73" s="35"/>
      <c r="D73" s="35"/>
      <c r="E73" s="36"/>
      <c r="F73" s="36"/>
      <c r="G73" s="36"/>
    </row>
    <row r="74">
      <c r="A74" s="37" t="s">
        <v>100</v>
      </c>
      <c r="B74" s="37"/>
      <c r="C74" s="35"/>
      <c r="D74" s="35"/>
      <c r="E74" s="36"/>
      <c r="F74" s="36"/>
      <c r="G74" s="36"/>
    </row>
    <row r="75">
      <c r="A75" s="37" t="s">
        <v>101</v>
      </c>
      <c r="B75" s="37" t="s">
        <v>102</v>
      </c>
      <c r="C75" s="37" t="s">
        <v>103</v>
      </c>
      <c r="D75" s="35"/>
      <c r="E75" s="36"/>
      <c r="F75" s="36"/>
      <c r="G75" s="36"/>
    </row>
    <row r="76">
      <c r="A76" s="35"/>
      <c r="B76" s="35"/>
      <c r="C76" s="35"/>
      <c r="D76" s="35"/>
      <c r="E76" s="36"/>
      <c r="F76" s="36"/>
      <c r="G76" s="36"/>
    </row>
    <row r="77">
      <c r="A77" s="37" t="s">
        <v>104</v>
      </c>
      <c r="B77" s="35"/>
      <c r="C77" s="35"/>
      <c r="D77" s="35"/>
      <c r="E77" s="36"/>
      <c r="F77" s="36"/>
      <c r="G77" s="36"/>
    </row>
    <row r="78">
      <c r="A78" s="37" t="s">
        <v>105</v>
      </c>
      <c r="B78" s="35"/>
      <c r="C78" s="35"/>
      <c r="D78" s="35"/>
      <c r="E78" s="36"/>
      <c r="F78" s="36"/>
      <c r="G78" s="36"/>
    </row>
    <row r="79">
      <c r="A79" s="37" t="s">
        <v>106</v>
      </c>
      <c r="B79" s="35"/>
      <c r="C79" s="35"/>
      <c r="D79" s="35"/>
      <c r="E79" s="36"/>
      <c r="F79" s="36"/>
      <c r="G79" s="36"/>
    </row>
    <row r="80">
      <c r="A80" s="37" t="s">
        <v>107</v>
      </c>
      <c r="B80" s="35"/>
      <c r="C80" s="35"/>
      <c r="D80" s="35"/>
      <c r="E80" s="36"/>
      <c r="F80" s="36"/>
      <c r="G80" s="36"/>
    </row>
    <row r="81">
      <c r="A81" s="37" t="s">
        <v>108</v>
      </c>
      <c r="B81" s="35"/>
      <c r="C81" s="35"/>
      <c r="D81" s="35"/>
      <c r="E81" s="36"/>
      <c r="F81" s="36"/>
      <c r="G81" s="36"/>
    </row>
    <row r="82">
      <c r="A82" s="35"/>
      <c r="B82" s="35"/>
      <c r="C82" s="35"/>
      <c r="D82" s="35"/>
      <c r="E82" s="36"/>
      <c r="F82" s="36"/>
      <c r="G82" s="36"/>
    </row>
    <row r="83">
      <c r="A83" s="37" t="s">
        <v>109</v>
      </c>
      <c r="B83" s="35"/>
      <c r="C83" s="35"/>
      <c r="D83" s="35"/>
      <c r="E83" s="36"/>
      <c r="F83" s="36"/>
      <c r="G83" s="36"/>
    </row>
    <row r="84">
      <c r="A84" s="37" t="s">
        <v>110</v>
      </c>
      <c r="B84" s="35"/>
      <c r="C84" s="35"/>
      <c r="D84" s="35"/>
      <c r="E84" s="36"/>
      <c r="F84" s="36"/>
      <c r="G84" s="36"/>
    </row>
    <row r="85">
      <c r="A85" s="37" t="s">
        <v>111</v>
      </c>
      <c r="B85" s="35"/>
      <c r="C85" s="35"/>
      <c r="D85" s="35"/>
      <c r="E85" s="36"/>
      <c r="F85" s="36"/>
      <c r="G85" s="36"/>
    </row>
    <row r="86">
      <c r="A86" s="35"/>
      <c r="B86" s="35"/>
      <c r="C86" s="35"/>
      <c r="D86" s="35"/>
      <c r="E86" s="36"/>
      <c r="F86" s="36"/>
      <c r="G86" s="36"/>
    </row>
    <row r="87">
      <c r="A87" s="37" t="s">
        <v>112</v>
      </c>
      <c r="B87" s="35"/>
      <c r="C87" s="35"/>
      <c r="D87" s="35"/>
      <c r="E87" s="36"/>
      <c r="F87" s="36"/>
      <c r="G87" s="36"/>
    </row>
    <row r="88">
      <c r="A88" s="37" t="s">
        <v>113</v>
      </c>
      <c r="B88" s="35"/>
      <c r="C88" s="35"/>
      <c r="D88" s="35"/>
      <c r="E88" s="36"/>
      <c r="F88" s="36"/>
      <c r="G88" s="36"/>
    </row>
    <row r="89">
      <c r="A89" s="37" t="s">
        <v>114</v>
      </c>
      <c r="B89" s="35"/>
      <c r="C89" s="35"/>
      <c r="D89" s="35"/>
      <c r="E89" s="36"/>
      <c r="F89" s="36"/>
      <c r="G89" s="36"/>
    </row>
    <row r="90">
      <c r="A90" s="37" t="s">
        <v>115</v>
      </c>
      <c r="B90" s="35"/>
      <c r="C90" s="35"/>
      <c r="D90" s="35"/>
      <c r="E90" s="36"/>
      <c r="F90" s="36"/>
      <c r="G90" s="36"/>
    </row>
    <row r="91">
      <c r="A91" s="35"/>
      <c r="B91" s="35"/>
      <c r="C91" s="35"/>
      <c r="D91" s="35"/>
      <c r="E91" s="36"/>
      <c r="F91" s="36"/>
      <c r="G91" s="36"/>
    </row>
    <row r="92">
      <c r="A92" s="37" t="s">
        <v>116</v>
      </c>
      <c r="B92" s="35"/>
      <c r="C92" s="35"/>
      <c r="D92" s="35"/>
      <c r="E92" s="36"/>
      <c r="F92" s="36"/>
      <c r="G92" s="36"/>
    </row>
    <row r="93">
      <c r="A93" s="37" t="s">
        <v>117</v>
      </c>
      <c r="B93" s="35"/>
      <c r="C93" s="35"/>
      <c r="D93" s="35"/>
      <c r="E93" s="36"/>
      <c r="F93" s="36"/>
      <c r="G93" s="36"/>
    </row>
    <row r="94">
      <c r="A94" s="35"/>
      <c r="B94" s="35"/>
      <c r="C94" s="35"/>
      <c r="D94" s="35"/>
      <c r="E94" s="36"/>
      <c r="F94" s="36"/>
      <c r="G94" s="36"/>
    </row>
    <row r="95">
      <c r="A95" s="37" t="s">
        <v>118</v>
      </c>
      <c r="B95" s="35"/>
      <c r="C95" s="35"/>
      <c r="D95" s="35"/>
      <c r="E95" s="36"/>
      <c r="F95" s="36"/>
      <c r="G95" s="36"/>
    </row>
    <row r="96">
      <c r="A96" s="35"/>
      <c r="B96" s="35"/>
      <c r="C96" s="35"/>
      <c r="D96" s="35"/>
      <c r="E96" s="36"/>
      <c r="F96" s="36"/>
      <c r="G96" s="36"/>
    </row>
    <row r="97">
      <c r="A97" s="37" t="s">
        <v>119</v>
      </c>
      <c r="B97" s="35"/>
      <c r="C97" s="35"/>
      <c r="D97" s="35"/>
      <c r="E97" s="36"/>
      <c r="F97" s="36"/>
      <c r="G97" s="36"/>
    </row>
    <row r="98">
      <c r="A98" s="37" t="s">
        <v>120</v>
      </c>
      <c r="B98" s="35"/>
      <c r="C98" s="35"/>
      <c r="D98" s="35"/>
      <c r="E98" s="36"/>
      <c r="F98" s="36"/>
      <c r="G98" s="36"/>
    </row>
    <row r="99">
      <c r="A99" s="35"/>
      <c r="B99" s="35"/>
      <c r="C99" s="35"/>
      <c r="D99" s="35"/>
      <c r="E99" s="36"/>
      <c r="F99" s="36"/>
      <c r="G99" s="36"/>
    </row>
    <row r="100">
      <c r="A100" s="37" t="s">
        <v>121</v>
      </c>
      <c r="B100" s="35"/>
      <c r="C100" s="35"/>
      <c r="D100" s="35"/>
      <c r="E100" s="36"/>
      <c r="F100" s="36"/>
      <c r="G100" s="36"/>
    </row>
    <row r="101">
      <c r="A101" s="35"/>
      <c r="B101" s="35"/>
      <c r="C101" s="35"/>
      <c r="D101" s="35"/>
      <c r="E101" s="36"/>
      <c r="F101" s="36"/>
      <c r="G101" s="36"/>
    </row>
    <row r="102">
      <c r="A102" s="37" t="s">
        <v>122</v>
      </c>
      <c r="B102" s="35"/>
      <c r="C102" s="35"/>
      <c r="D102" s="35"/>
      <c r="E102" s="36"/>
      <c r="F102" s="36"/>
      <c r="G102" s="36"/>
    </row>
    <row r="103">
      <c r="A103" s="37" t="s">
        <v>123</v>
      </c>
      <c r="B103" s="35"/>
      <c r="C103" s="35"/>
      <c r="D103" s="35"/>
      <c r="E103" s="36"/>
      <c r="F103" s="36"/>
      <c r="G103" s="36"/>
    </row>
    <row r="104">
      <c r="A104" s="37" t="s">
        <v>124</v>
      </c>
      <c r="B104" s="35"/>
      <c r="C104" s="35"/>
      <c r="D104" s="35"/>
      <c r="E104" s="36"/>
      <c r="F104" s="36"/>
      <c r="G104" s="36"/>
    </row>
    <row r="105">
      <c r="A105" s="35"/>
      <c r="B105" s="35"/>
      <c r="C105" s="35"/>
      <c r="D105" s="35"/>
      <c r="E105" s="36"/>
      <c r="F105" s="36"/>
      <c r="G105" s="36"/>
    </row>
    <row r="106">
      <c r="A106" s="37" t="s">
        <v>125</v>
      </c>
      <c r="B106" s="35"/>
      <c r="C106" s="35"/>
      <c r="D106" s="35"/>
      <c r="E106" s="36"/>
      <c r="F106" s="36"/>
      <c r="G106" s="36"/>
    </row>
    <row r="107">
      <c r="A107" s="37" t="s">
        <v>126</v>
      </c>
      <c r="B107" s="35"/>
      <c r="C107" s="35"/>
      <c r="D107" s="35"/>
      <c r="E107" s="36"/>
      <c r="F107" s="36"/>
      <c r="G107" s="36"/>
    </row>
    <row r="108">
      <c r="A108" s="37" t="s">
        <v>127</v>
      </c>
      <c r="B108" s="35"/>
      <c r="C108" s="35"/>
      <c r="D108" s="35"/>
      <c r="E108" s="36"/>
      <c r="F108" s="36"/>
      <c r="G108" s="36"/>
    </row>
    <row r="109">
      <c r="A109" s="35"/>
      <c r="B109" s="35"/>
      <c r="C109" s="35"/>
      <c r="D109" s="35"/>
      <c r="E109" s="36"/>
      <c r="F109" s="36"/>
      <c r="G109" s="36"/>
    </row>
    <row r="110">
      <c r="A110" s="37" t="s">
        <v>128</v>
      </c>
      <c r="B110" s="35"/>
      <c r="C110" s="35"/>
      <c r="D110" s="35"/>
      <c r="E110" s="36"/>
      <c r="F110" s="36"/>
      <c r="G110" s="36"/>
    </row>
    <row r="111">
      <c r="A111" s="35"/>
      <c r="B111" s="35"/>
      <c r="C111" s="35"/>
      <c r="D111" s="35"/>
      <c r="E111" s="36"/>
      <c r="F111" s="36"/>
      <c r="G111" s="36"/>
    </row>
    <row r="112">
      <c r="A112" s="37" t="s">
        <v>129</v>
      </c>
      <c r="B112" s="37" t="s">
        <v>130</v>
      </c>
      <c r="C112" s="37" t="s">
        <v>131</v>
      </c>
      <c r="D112" s="37" t="s">
        <v>132</v>
      </c>
      <c r="E112" s="36"/>
      <c r="F112" s="38" t="s">
        <v>133</v>
      </c>
      <c r="G112" s="36"/>
    </row>
    <row r="113">
      <c r="A113" s="37" t="s">
        <v>134</v>
      </c>
      <c r="B113" s="35"/>
      <c r="C113" s="35"/>
      <c r="D113" s="35"/>
      <c r="E113" s="36"/>
      <c r="F113" s="36"/>
      <c r="G113" s="36"/>
    </row>
    <row r="114">
      <c r="A114" s="37" t="s">
        <v>135</v>
      </c>
      <c r="B114" s="35"/>
      <c r="C114" s="35"/>
      <c r="D114" s="35"/>
      <c r="E114" s="36"/>
      <c r="F114" s="36"/>
      <c r="G114" s="36"/>
    </row>
    <row r="115">
      <c r="A115" s="37" t="s">
        <v>136</v>
      </c>
      <c r="B115" s="35"/>
      <c r="C115" s="35"/>
      <c r="D115" s="35"/>
      <c r="E115" s="36"/>
      <c r="F115" s="36"/>
      <c r="G115" s="36"/>
    </row>
    <row r="116">
      <c r="A116" s="35"/>
      <c r="B116" s="35"/>
      <c r="C116" s="35"/>
      <c r="D116" s="35"/>
      <c r="E116" s="36"/>
      <c r="F116" s="36"/>
      <c r="G116" s="36"/>
    </row>
    <row r="117">
      <c r="A117" s="37" t="s">
        <v>137</v>
      </c>
      <c r="B117" s="35"/>
      <c r="C117" s="35"/>
      <c r="D117" s="35"/>
      <c r="E117" s="36"/>
      <c r="F117" s="36"/>
      <c r="G117" s="36"/>
    </row>
    <row r="118">
      <c r="A118" s="37" t="s">
        <v>138</v>
      </c>
      <c r="B118" s="35"/>
      <c r="C118" s="35"/>
      <c r="D118" s="35"/>
      <c r="E118" s="36"/>
      <c r="F118" s="36"/>
      <c r="G118" s="36"/>
    </row>
    <row r="119">
      <c r="A119" s="37" t="s">
        <v>139</v>
      </c>
      <c r="B119" s="35"/>
      <c r="C119" s="35"/>
      <c r="D119" s="35"/>
      <c r="E119" s="36"/>
      <c r="F119" s="36"/>
      <c r="G119" s="36"/>
    </row>
    <row r="120">
      <c r="A120" s="37" t="s">
        <v>140</v>
      </c>
      <c r="B120" s="35"/>
      <c r="C120" s="35"/>
      <c r="D120" s="35"/>
      <c r="E120" s="36"/>
      <c r="F120" s="36"/>
      <c r="G120" s="36"/>
    </row>
    <row r="121">
      <c r="A121" s="35"/>
      <c r="B121" s="35"/>
      <c r="C121" s="35"/>
      <c r="D121" s="35"/>
      <c r="E121" s="36"/>
      <c r="F121" s="36"/>
      <c r="G121" s="36"/>
    </row>
    <row r="122">
      <c r="A122" s="35"/>
      <c r="B122" s="35"/>
      <c r="C122" s="35"/>
      <c r="D122" s="35"/>
      <c r="E122" s="36"/>
      <c r="F122" s="36"/>
      <c r="G122" s="36"/>
    </row>
    <row r="123">
      <c r="A123" s="35"/>
      <c r="B123" s="35"/>
      <c r="C123" s="35"/>
      <c r="D123" s="35"/>
      <c r="E123" s="36"/>
      <c r="F123" s="36"/>
      <c r="G123" s="36"/>
    </row>
    <row r="124">
      <c r="A124" s="35"/>
      <c r="B124" s="35"/>
      <c r="C124" s="35"/>
      <c r="D124" s="35"/>
      <c r="E124" s="36"/>
      <c r="F124" s="36"/>
      <c r="G124" s="36"/>
    </row>
    <row r="125">
      <c r="A125" s="35" t="s">
        <v>141</v>
      </c>
      <c r="B125" s="35"/>
      <c r="C125" s="35"/>
      <c r="D125" s="35"/>
      <c r="E125" s="36">
        <v>5000.0</v>
      </c>
      <c r="F125" s="36"/>
      <c r="G125" s="36"/>
    </row>
    <row r="126">
      <c r="A126" s="39" t="s">
        <v>142</v>
      </c>
    </row>
    <row r="127">
      <c r="A127" s="40"/>
      <c r="B127" s="40"/>
      <c r="C127" s="40"/>
      <c r="D127" s="40"/>
      <c r="E127" s="40"/>
      <c r="F127" s="40"/>
      <c r="G127" s="40"/>
    </row>
    <row r="128">
      <c r="A128" s="41" t="s">
        <v>143</v>
      </c>
      <c r="B128" s="32"/>
      <c r="C128" s="32"/>
      <c r="D128" s="32"/>
      <c r="E128" s="32"/>
      <c r="F128" s="32"/>
      <c r="G128" s="32"/>
    </row>
    <row r="129">
      <c r="A129" s="42"/>
      <c r="B129" s="42"/>
      <c r="C129" s="42"/>
      <c r="D129" s="42"/>
      <c r="E129" s="42"/>
      <c r="F129" s="42"/>
      <c r="G129" s="42"/>
    </row>
    <row r="130">
      <c r="A130" s="28" t="s">
        <v>144</v>
      </c>
    </row>
    <row r="131">
      <c r="A131" s="43" t="s">
        <v>145</v>
      </c>
      <c r="B131" s="32"/>
      <c r="C131" s="32"/>
      <c r="D131" s="32"/>
      <c r="E131" s="44" t="s">
        <v>146</v>
      </c>
      <c r="F131" s="32"/>
      <c r="G131" s="32"/>
    </row>
    <row r="132">
      <c r="A132" s="43" t="s">
        <v>147</v>
      </c>
      <c r="B132" s="32"/>
      <c r="C132" s="32"/>
      <c r="D132" s="32"/>
      <c r="E132" s="44" t="s">
        <v>146</v>
      </c>
      <c r="F132" s="32"/>
      <c r="G132" s="32"/>
    </row>
    <row r="133">
      <c r="A133" s="43" t="s">
        <v>148</v>
      </c>
      <c r="B133" s="32"/>
      <c r="C133" s="32"/>
      <c r="D133" s="32"/>
      <c r="E133" s="44" t="s">
        <v>149</v>
      </c>
      <c r="F133" s="32"/>
      <c r="G133" s="32"/>
    </row>
    <row r="134">
      <c r="A134" s="43" t="s">
        <v>150</v>
      </c>
      <c r="B134" s="32"/>
      <c r="C134" s="32"/>
      <c r="D134" s="32"/>
      <c r="E134" s="44" t="s">
        <v>146</v>
      </c>
      <c r="F134" s="32"/>
      <c r="G134" s="32"/>
    </row>
    <row r="135">
      <c r="A135" s="43" t="s">
        <v>151</v>
      </c>
      <c r="B135" s="32"/>
      <c r="C135" s="32"/>
      <c r="D135" s="32"/>
      <c r="E135" s="44" t="s">
        <v>152</v>
      </c>
      <c r="F135" s="32"/>
      <c r="G135" s="32"/>
    </row>
    <row r="136">
      <c r="A136" s="35"/>
      <c r="B136" s="35"/>
      <c r="C136" s="35"/>
      <c r="D136" s="35"/>
      <c r="E136" s="35"/>
      <c r="F136" s="35"/>
      <c r="G136" s="35"/>
    </row>
    <row r="137">
      <c r="A137" s="45" t="s">
        <v>153</v>
      </c>
      <c r="B137" s="32"/>
      <c r="C137" s="32"/>
      <c r="D137" s="32"/>
      <c r="E137" s="32"/>
      <c r="F137" s="32"/>
      <c r="G137" s="32"/>
    </row>
    <row r="138">
      <c r="A138" s="43" t="s">
        <v>154</v>
      </c>
      <c r="B138" s="32"/>
      <c r="C138" s="32"/>
      <c r="D138" s="32"/>
      <c r="E138" s="44">
        <v>50.0</v>
      </c>
      <c r="F138" s="32"/>
      <c r="G138" s="32"/>
    </row>
    <row r="139">
      <c r="A139" s="46" t="s">
        <v>147</v>
      </c>
      <c r="B139" s="32"/>
      <c r="C139" s="32"/>
      <c r="D139" s="32"/>
      <c r="E139" s="44" t="s">
        <v>155</v>
      </c>
      <c r="F139" s="32"/>
      <c r="G139" s="32"/>
    </row>
    <row r="140">
      <c r="A140" s="47"/>
      <c r="B140" s="47"/>
      <c r="C140" s="47"/>
      <c r="D140" s="47"/>
      <c r="E140" s="48"/>
      <c r="F140" s="48"/>
      <c r="G140" s="48"/>
    </row>
    <row r="141">
      <c r="A141" s="45" t="s">
        <v>156</v>
      </c>
      <c r="B141" s="32"/>
      <c r="C141" s="32"/>
      <c r="D141" s="32"/>
      <c r="E141" s="32"/>
      <c r="F141" s="32"/>
      <c r="G141" s="32"/>
    </row>
    <row r="142">
      <c r="A142" s="46" t="s">
        <v>157</v>
      </c>
      <c r="B142" s="32"/>
      <c r="C142" s="32"/>
      <c r="D142" s="32"/>
      <c r="E142" s="44" t="s">
        <v>158</v>
      </c>
      <c r="F142" s="32"/>
      <c r="G142" s="32"/>
    </row>
    <row r="143">
      <c r="A143" s="46" t="s">
        <v>159</v>
      </c>
      <c r="B143" s="32"/>
      <c r="C143" s="32"/>
      <c r="D143" s="32"/>
      <c r="E143" s="44" t="s">
        <v>160</v>
      </c>
      <c r="F143" s="32"/>
      <c r="G143" s="32"/>
    </row>
    <row r="144">
      <c r="A144" s="49"/>
      <c r="B144" s="49"/>
      <c r="C144" s="49"/>
      <c r="D144" s="49"/>
      <c r="E144" s="49"/>
      <c r="F144" s="49"/>
      <c r="G144" s="49"/>
    </row>
    <row r="145">
      <c r="A145" s="45" t="s">
        <v>161</v>
      </c>
      <c r="B145" s="32"/>
      <c r="C145" s="32"/>
      <c r="D145" s="32"/>
      <c r="E145" s="32"/>
      <c r="F145" s="32"/>
      <c r="G145" s="32"/>
    </row>
    <row r="146">
      <c r="A146" s="50" t="s">
        <v>162</v>
      </c>
      <c r="B146" s="32"/>
      <c r="C146" s="32"/>
      <c r="D146" s="32"/>
      <c r="E146" s="32"/>
      <c r="F146" s="32"/>
      <c r="G146" s="32"/>
    </row>
    <row r="147">
      <c r="A147" s="51" t="s">
        <v>163</v>
      </c>
      <c r="B147" s="32"/>
      <c r="C147" s="32"/>
      <c r="D147" s="32"/>
      <c r="E147" s="32"/>
      <c r="F147" s="32"/>
      <c r="G147" s="32"/>
    </row>
    <row r="149">
      <c r="A149" s="35"/>
      <c r="B149" s="35"/>
      <c r="C149" s="35"/>
      <c r="D149" s="35"/>
      <c r="E149" s="35"/>
      <c r="F149" s="35"/>
      <c r="G149" s="35"/>
    </row>
    <row r="150">
      <c r="A150" s="35"/>
      <c r="B150" s="35"/>
      <c r="C150" s="35"/>
      <c r="D150" s="35"/>
      <c r="E150" s="35"/>
      <c r="F150" s="35"/>
      <c r="G150" s="35"/>
    </row>
    <row r="151">
      <c r="A151" s="52" t="s">
        <v>164</v>
      </c>
      <c r="B151" s="32"/>
      <c r="C151" s="32"/>
      <c r="D151" s="32"/>
      <c r="E151" s="32"/>
      <c r="F151" s="32"/>
      <c r="G151" s="32"/>
    </row>
    <row r="152">
      <c r="A152" s="53" t="s">
        <v>165</v>
      </c>
    </row>
    <row r="153">
      <c r="A153" s="54" t="s">
        <v>166</v>
      </c>
    </row>
    <row r="154">
      <c r="A154" s="55" t="s">
        <v>167</v>
      </c>
    </row>
    <row r="155">
      <c r="A155" s="2"/>
      <c r="B155" s="2"/>
      <c r="C155" s="2"/>
      <c r="D155" s="2"/>
      <c r="E155" s="2"/>
      <c r="F155" s="2"/>
      <c r="G155" s="2"/>
    </row>
  </sheetData>
  <mergeCells count="61">
    <mergeCell ref="A147:G147"/>
    <mergeCell ref="A151:G151"/>
    <mergeCell ref="A152:G152"/>
    <mergeCell ref="A153:G153"/>
    <mergeCell ref="A154:G154"/>
    <mergeCell ref="A141:G141"/>
    <mergeCell ref="A142:D142"/>
    <mergeCell ref="E142:G142"/>
    <mergeCell ref="A143:D143"/>
    <mergeCell ref="E143:G143"/>
    <mergeCell ref="A145:G145"/>
    <mergeCell ref="A146:G146"/>
    <mergeCell ref="B2:G2"/>
    <mergeCell ref="B3:G3"/>
    <mergeCell ref="B4:G4"/>
    <mergeCell ref="B5:G5"/>
    <mergeCell ref="A6:G6"/>
    <mergeCell ref="A20:G20"/>
    <mergeCell ref="A21:G21"/>
    <mergeCell ref="A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A126:G126"/>
    <mergeCell ref="A128:G128"/>
    <mergeCell ref="A130:G130"/>
    <mergeCell ref="E131:G131"/>
    <mergeCell ref="A131:D131"/>
    <mergeCell ref="A132:D132"/>
    <mergeCell ref="E132:G132"/>
    <mergeCell ref="A133:D133"/>
    <mergeCell ref="E133:G133"/>
    <mergeCell ref="A134:D134"/>
    <mergeCell ref="E134:G134"/>
    <mergeCell ref="A135:D135"/>
    <mergeCell ref="E135:G135"/>
    <mergeCell ref="A137:G137"/>
    <mergeCell ref="A138:D138"/>
    <mergeCell ref="E138:G138"/>
    <mergeCell ref="A139:D139"/>
    <mergeCell ref="E139:G139"/>
  </mergeCells>
  <hyperlinks>
    <hyperlink r:id="rId1" ref="B15"/>
    <hyperlink r:id="rId2" ref="F15"/>
  </hyperlinks>
  <printOptions horizontalCentered="1"/>
  <pageMargins bottom="0.75" footer="0.0" header="0.0" left="0.25" right="0.25" top="0.75"/>
  <pageSetup paperSize="9" orientation="portrait" pageOrder="overThenDown"/>
  <rowBreaks count="2" manualBreakCount="2">
    <brk man="1"/>
    <brk id="128" man="1"/>
  </rowBreaks>
  <colBreaks count="2" manualBreakCount="2">
    <brk man="1"/>
    <brk id="7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75"/>
    <col customWidth="1" min="3" max="3" width="21.0"/>
    <col customWidth="1" min="4" max="4" width="10.88"/>
    <col customWidth="1" min="5" max="5" width="13.88"/>
    <col customWidth="1" min="6" max="7" width="9.63"/>
    <col customWidth="1" min="8" max="9" width="9.5"/>
    <col customWidth="1" min="10" max="10" width="18.38"/>
    <col customWidth="1" min="11" max="11" width="9.63"/>
    <col customWidth="1" min="12" max="12" width="14.63"/>
    <col customWidth="1" min="13" max="14" width="14.13"/>
    <col customWidth="1" min="15" max="17" width="14.88"/>
    <col customWidth="1" min="18" max="18" width="9.0"/>
    <col customWidth="1" min="19" max="19" width="11.63"/>
    <col customWidth="1" min="20" max="20" width="15.13"/>
    <col customWidth="1" min="21" max="50" width="7.5"/>
    <col customWidth="1" min="51" max="51" width="18.75"/>
    <col customWidth="1" min="52" max="52" width="8.63"/>
    <col customWidth="1" min="53" max="53" width="11.63"/>
    <col customWidth="1" min="54" max="54" width="15.13"/>
    <col customWidth="1" min="55" max="55" width="10.0"/>
    <col customWidth="1" min="56" max="63" width="7.5"/>
    <col customWidth="1" min="64" max="64" width="9.63"/>
    <col customWidth="1" min="65" max="70" width="7.5"/>
    <col customWidth="1" min="71" max="71" width="12.25"/>
    <col customWidth="1" min="72" max="72" width="7.5"/>
  </cols>
  <sheetData>
    <row r="1">
      <c r="A1" s="56"/>
      <c r="B1" s="57" t="s">
        <v>168</v>
      </c>
      <c r="Q1" s="58"/>
      <c r="R1" s="59" t="s">
        <v>169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60"/>
      <c r="AI1" s="61" t="s">
        <v>170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60"/>
      <c r="AY1" s="62" t="s">
        <v>171</v>
      </c>
      <c r="AZ1" s="63">
        <v>8.0</v>
      </c>
      <c r="BA1" s="64"/>
      <c r="BB1" s="64"/>
      <c r="BC1" s="65" t="s">
        <v>172</v>
      </c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60"/>
      <c r="BS1" s="66" t="s">
        <v>173</v>
      </c>
      <c r="BT1" s="67">
        <v>0.83</v>
      </c>
    </row>
    <row r="2">
      <c r="A2" s="68"/>
      <c r="Q2" s="58"/>
      <c r="AH2" s="58"/>
      <c r="AX2" s="58"/>
      <c r="AY2" s="69" t="s">
        <v>174</v>
      </c>
      <c r="AZ2" s="70">
        <v>2.0</v>
      </c>
      <c r="BA2" s="71"/>
      <c r="BB2" s="71"/>
      <c r="BC2" s="7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73"/>
      <c r="BS2" s="74" t="s">
        <v>175</v>
      </c>
      <c r="BT2" s="75">
        <v>50.0</v>
      </c>
    </row>
    <row r="3">
      <c r="A3" s="68"/>
      <c r="Q3" s="58"/>
      <c r="AH3" s="58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7" t="s">
        <v>176</v>
      </c>
      <c r="AZ3" s="70">
        <v>5.0</v>
      </c>
      <c r="BA3" s="71"/>
      <c r="BB3" s="71"/>
      <c r="BC3" s="78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1"/>
      <c r="BT3" s="80"/>
    </row>
    <row r="4">
      <c r="A4" s="8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73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3"/>
      <c r="AI4" s="82">
        <f>5*DevUnits!B20</f>
        <v>25</v>
      </c>
      <c r="AJ4" s="82">
        <f>5*DevUnits!C20</f>
        <v>10</v>
      </c>
      <c r="AK4" s="82">
        <f>5*DevUnits!D20</f>
        <v>25</v>
      </c>
      <c r="AL4" s="82">
        <f>5*DevUnits!E20</f>
        <v>35</v>
      </c>
      <c r="AM4" s="82">
        <f>5*DevUnits!F20</f>
        <v>35</v>
      </c>
      <c r="AN4" s="82">
        <f>5*DevUnits!G20</f>
        <v>35</v>
      </c>
      <c r="AO4" s="82">
        <f>5*DevUnits!H20</f>
        <v>5</v>
      </c>
      <c r="AP4" s="82">
        <f>5*DevUnits!I20</f>
        <v>35</v>
      </c>
      <c r="AQ4" s="82">
        <f>5*DevUnits!J20</f>
        <v>35</v>
      </c>
      <c r="AR4" s="82">
        <f>5*DevUnits!K20</f>
        <v>40</v>
      </c>
      <c r="AS4" s="82">
        <f>5*DevUnits!L20</f>
        <v>10</v>
      </c>
      <c r="AT4" s="82">
        <f>5*DevUnits!M20</f>
        <v>5</v>
      </c>
      <c r="AU4" s="82">
        <f>5*DevUnits!N20</f>
        <v>15</v>
      </c>
      <c r="AV4" s="82">
        <f>5*DevUnits!O20</f>
        <v>10</v>
      </c>
      <c r="AW4" s="82">
        <f>5*DevUnits!P20</f>
        <v>10</v>
      </c>
      <c r="AX4" s="82">
        <f>5*DevUnits!Q20</f>
        <v>25</v>
      </c>
      <c r="AY4" s="83" t="s">
        <v>177</v>
      </c>
      <c r="AZ4" s="84" t="s">
        <v>178</v>
      </c>
      <c r="BA4" s="84" t="s">
        <v>179</v>
      </c>
      <c r="BB4" s="84" t="s">
        <v>180</v>
      </c>
      <c r="BC4" s="85">
        <f t="shared" ref="BC4:BR4" si="1">$BT$1*AI4</f>
        <v>20.75</v>
      </c>
      <c r="BD4" s="86">
        <f t="shared" si="1"/>
        <v>8.3</v>
      </c>
      <c r="BE4" s="86">
        <f t="shared" si="1"/>
        <v>20.75</v>
      </c>
      <c r="BF4" s="86">
        <f t="shared" si="1"/>
        <v>29.05</v>
      </c>
      <c r="BG4" s="86">
        <f t="shared" si="1"/>
        <v>29.05</v>
      </c>
      <c r="BH4" s="86">
        <f t="shared" si="1"/>
        <v>29.05</v>
      </c>
      <c r="BI4" s="86">
        <f t="shared" si="1"/>
        <v>4.15</v>
      </c>
      <c r="BJ4" s="86">
        <f t="shared" si="1"/>
        <v>29.05</v>
      </c>
      <c r="BK4" s="86">
        <f t="shared" si="1"/>
        <v>29.05</v>
      </c>
      <c r="BL4" s="86">
        <f t="shared" si="1"/>
        <v>33.2</v>
      </c>
      <c r="BM4" s="86">
        <f t="shared" si="1"/>
        <v>8.3</v>
      </c>
      <c r="BN4" s="86">
        <f t="shared" si="1"/>
        <v>4.15</v>
      </c>
      <c r="BO4" s="86">
        <f t="shared" si="1"/>
        <v>12.45</v>
      </c>
      <c r="BP4" s="86">
        <f t="shared" si="1"/>
        <v>8.3</v>
      </c>
      <c r="BQ4" s="86">
        <f t="shared" si="1"/>
        <v>8.3</v>
      </c>
      <c r="BR4" s="86">
        <f t="shared" si="1"/>
        <v>20.75</v>
      </c>
      <c r="BS4" s="87" t="s">
        <v>181</v>
      </c>
      <c r="BT4" s="80"/>
    </row>
    <row r="5">
      <c r="A5" s="88" t="s">
        <v>182</v>
      </c>
      <c r="B5" s="89" t="s">
        <v>183</v>
      </c>
      <c r="C5" s="89" t="s">
        <v>184</v>
      </c>
      <c r="D5" s="90" t="s">
        <v>185</v>
      </c>
      <c r="E5" s="91" t="s">
        <v>186</v>
      </c>
      <c r="F5" s="91" t="s">
        <v>187</v>
      </c>
      <c r="G5" s="91" t="s">
        <v>188</v>
      </c>
      <c r="H5" s="91" t="s">
        <v>189</v>
      </c>
      <c r="I5" s="91" t="s">
        <v>190</v>
      </c>
      <c r="J5" s="91" t="s">
        <v>191</v>
      </c>
      <c r="K5" s="91" t="s">
        <v>192</v>
      </c>
      <c r="L5" s="92" t="s">
        <v>193</v>
      </c>
      <c r="M5" s="92" t="s">
        <v>194</v>
      </c>
      <c r="N5" s="92" t="s">
        <v>195</v>
      </c>
      <c r="O5" s="92" t="s">
        <v>196</v>
      </c>
      <c r="P5" s="92" t="s">
        <v>197</v>
      </c>
      <c r="Q5" s="92" t="s">
        <v>198</v>
      </c>
      <c r="R5" s="93" t="s">
        <v>183</v>
      </c>
      <c r="S5" s="92" t="s">
        <v>184</v>
      </c>
      <c r="T5" s="92" t="s">
        <v>185</v>
      </c>
      <c r="U5" s="92" t="s">
        <v>186</v>
      </c>
      <c r="V5" s="92" t="s">
        <v>187</v>
      </c>
      <c r="W5" s="92" t="s">
        <v>188</v>
      </c>
      <c r="X5" s="92" t="s">
        <v>189</v>
      </c>
      <c r="Y5" s="92" t="s">
        <v>190</v>
      </c>
      <c r="Z5" s="92" t="s">
        <v>191</v>
      </c>
      <c r="AA5" s="92" t="s">
        <v>192</v>
      </c>
      <c r="AB5" s="92" t="s">
        <v>193</v>
      </c>
      <c r="AC5" s="92" t="s">
        <v>194</v>
      </c>
      <c r="AD5" s="92" t="s">
        <v>195</v>
      </c>
      <c r="AE5" s="92" t="s">
        <v>196</v>
      </c>
      <c r="AF5" s="92" t="s">
        <v>197</v>
      </c>
      <c r="AG5" s="92" t="s">
        <v>198</v>
      </c>
      <c r="AH5" s="92" t="s">
        <v>199</v>
      </c>
      <c r="AI5" s="93" t="s">
        <v>183</v>
      </c>
      <c r="AJ5" s="92" t="s">
        <v>184</v>
      </c>
      <c r="AK5" s="92" t="s">
        <v>185</v>
      </c>
      <c r="AL5" s="92" t="s">
        <v>186</v>
      </c>
      <c r="AM5" s="92" t="s">
        <v>187</v>
      </c>
      <c r="AN5" s="92" t="s">
        <v>188</v>
      </c>
      <c r="AO5" s="92" t="s">
        <v>189</v>
      </c>
      <c r="AP5" s="92" t="s">
        <v>190</v>
      </c>
      <c r="AQ5" s="92" t="s">
        <v>191</v>
      </c>
      <c r="AR5" s="92" t="s">
        <v>192</v>
      </c>
      <c r="AS5" s="92" t="s">
        <v>193</v>
      </c>
      <c r="AT5" s="92" t="s">
        <v>194</v>
      </c>
      <c r="AU5" s="92" t="s">
        <v>195</v>
      </c>
      <c r="AV5" s="92" t="s">
        <v>196</v>
      </c>
      <c r="AW5" s="92" t="s">
        <v>197</v>
      </c>
      <c r="AX5" s="92" t="s">
        <v>198</v>
      </c>
      <c r="AY5" s="94"/>
      <c r="AZ5" s="73"/>
      <c r="BA5" s="73"/>
      <c r="BB5" s="73"/>
      <c r="BC5" s="85" t="s">
        <v>183</v>
      </c>
      <c r="BD5" s="86" t="s">
        <v>184</v>
      </c>
      <c r="BE5" s="86" t="s">
        <v>185</v>
      </c>
      <c r="BF5" s="86" t="s">
        <v>186</v>
      </c>
      <c r="BG5" s="86" t="s">
        <v>187</v>
      </c>
      <c r="BH5" s="86" t="s">
        <v>188</v>
      </c>
      <c r="BI5" s="86" t="s">
        <v>189</v>
      </c>
      <c r="BJ5" s="86" t="s">
        <v>190</v>
      </c>
      <c r="BK5" s="86" t="s">
        <v>191</v>
      </c>
      <c r="BL5" s="86" t="s">
        <v>192</v>
      </c>
      <c r="BM5" s="86" t="s">
        <v>193</v>
      </c>
      <c r="BN5" s="86" t="s">
        <v>194</v>
      </c>
      <c r="BO5" s="86" t="s">
        <v>195</v>
      </c>
      <c r="BP5" s="86" t="s">
        <v>196</v>
      </c>
      <c r="BQ5" s="86" t="s">
        <v>197</v>
      </c>
      <c r="BR5" s="86" t="s">
        <v>198</v>
      </c>
      <c r="BS5" s="95"/>
      <c r="BT5" s="96"/>
    </row>
    <row r="6">
      <c r="A6" s="97"/>
      <c r="B6" s="97"/>
      <c r="C6" s="97"/>
      <c r="D6" s="98" t="str">
        <f t="shared" ref="D6:I6" si="2">$B6</f>
        <v/>
      </c>
      <c r="E6" s="99" t="str">
        <f t="shared" si="2"/>
        <v/>
      </c>
      <c r="F6" s="99" t="str">
        <f t="shared" si="2"/>
        <v/>
      </c>
      <c r="G6" s="99" t="str">
        <f t="shared" si="2"/>
        <v/>
      </c>
      <c r="H6" s="99" t="str">
        <f t="shared" si="2"/>
        <v/>
      </c>
      <c r="I6" s="99" t="str">
        <f t="shared" si="2"/>
        <v/>
      </c>
      <c r="J6" s="100"/>
      <c r="K6" s="79" t="str">
        <f t="shared" ref="K6:K8" si="7">B6</f>
        <v/>
      </c>
      <c r="L6" s="79"/>
      <c r="M6" s="101" t="str">
        <f t="shared" ref="M6:M22" si="8">C6</f>
        <v/>
      </c>
      <c r="N6" s="79"/>
      <c r="O6" s="79"/>
      <c r="P6" s="79"/>
      <c r="Q6" s="79"/>
      <c r="R6" s="102">
        <f>IFERROR(__xludf.DUMMYFUNCTION("(COUNTA(SPLIT(B6,"","",TRUE)) - NOT(LEN(B6)))"),0.0)</f>
        <v>0</v>
      </c>
      <c r="S6" s="103">
        <f>IFERROR(__xludf.DUMMYFUNCTION("(COUNTA(SPLIT(C6,"","",TRUE)) - NOT(LEN(C6)))"),0.0)</f>
        <v>0</v>
      </c>
      <c r="T6" s="103">
        <f>IFERROR(__xludf.DUMMYFUNCTION("(COUNTA(SPLIT(D6,"","",TRUE)) - NOT(LEN(D6)))"),0.0)</f>
        <v>0</v>
      </c>
      <c r="U6" s="103">
        <f>IFERROR(__xludf.DUMMYFUNCTION("(COUNTA(SPLIT(E6,"","",TRUE)) - NOT(LEN(E6)))"),0.0)</f>
        <v>0</v>
      </c>
      <c r="V6" s="103">
        <f>IFERROR(__xludf.DUMMYFUNCTION("(COUNTA(SPLIT(F6,"","",TRUE)) - NOT(LEN(F6)))"),0.0)</f>
        <v>0</v>
      </c>
      <c r="W6" s="103">
        <f>IFERROR(__xludf.DUMMYFUNCTION("(COUNTA(SPLIT(G6,"","",TRUE)) - NOT(LEN(G6)))"),0.0)</f>
        <v>0</v>
      </c>
      <c r="X6" s="103">
        <f>IFERROR(__xludf.DUMMYFUNCTION("(COUNTA(SPLIT(H6,"","",TRUE)) - NOT(LEN(H6)))"),0.0)</f>
        <v>0</v>
      </c>
      <c r="Y6" s="103">
        <f>IFERROR(__xludf.DUMMYFUNCTION("(COUNTA(SPLIT(I6,"","",TRUE)) - NOT(LEN(I6)))"),0.0)</f>
        <v>0</v>
      </c>
      <c r="Z6" s="103">
        <f>IFERROR(__xludf.DUMMYFUNCTION("(COUNTA(SPLIT(J6,"","",TRUE)) - NOT(LEN(J6)))"),0.0)</f>
        <v>0</v>
      </c>
      <c r="AA6" s="103">
        <f>IFERROR(__xludf.DUMMYFUNCTION("(COUNTA(SPLIT(K6,"","",TRUE)) - NOT(LEN(K6)))"),0.0)</f>
        <v>0</v>
      </c>
      <c r="AB6" s="103">
        <f>IFERROR(__xludf.DUMMYFUNCTION("(COUNTA(SPLIT(L6,"","",TRUE)) - NOT(LEN(L6)))"),0.0)</f>
        <v>0</v>
      </c>
      <c r="AC6" s="103">
        <f>IFERROR(__xludf.DUMMYFUNCTION("(COUNTA(SPLIT(M6,"","",TRUE)) - NOT(LEN(M6)))"),0.0)</f>
        <v>0</v>
      </c>
      <c r="AD6" s="103">
        <f>IFERROR(__xludf.DUMMYFUNCTION("(COUNTA(SPLIT(N6,"","",TRUE)) - NOT(LEN(N6)))"),0.0)</f>
        <v>0</v>
      </c>
      <c r="AE6" s="103">
        <f>IFERROR(__xludf.DUMMYFUNCTION("(COUNTA(SPLIT(O6,"","",TRUE)) - NOT(LEN(O6)))"),0.0)</f>
        <v>0</v>
      </c>
      <c r="AF6" s="103">
        <f>IFERROR(__xludf.DUMMYFUNCTION("(COUNTA(SPLIT(P6,"","",TRUE)) - NOT(LEN(P6)))"),0.0)</f>
        <v>0</v>
      </c>
      <c r="AG6" s="103">
        <f>IFERROR(__xludf.DUMMYFUNCTION("(COUNTA(SPLIT(Q6,"","",TRUE)) - NOT(LEN(Q6)))"),0.0)</f>
        <v>0</v>
      </c>
      <c r="AH6" s="104">
        <f t="shared" ref="AH6:AH22" si="9">SUM(R6:AG6)</f>
        <v>0</v>
      </c>
      <c r="AI6" s="105">
        <f t="shared" ref="AI6:AX6" si="3">R6*AI$4</f>
        <v>0</v>
      </c>
      <c r="AJ6" s="106">
        <f t="shared" si="3"/>
        <v>0</v>
      </c>
      <c r="AK6" s="106">
        <f t="shared" si="3"/>
        <v>0</v>
      </c>
      <c r="AL6" s="106">
        <f t="shared" si="3"/>
        <v>0</v>
      </c>
      <c r="AM6" s="106">
        <f t="shared" si="3"/>
        <v>0</v>
      </c>
      <c r="AN6" s="106">
        <f t="shared" si="3"/>
        <v>0</v>
      </c>
      <c r="AO6" s="106">
        <f t="shared" si="3"/>
        <v>0</v>
      </c>
      <c r="AP6" s="106">
        <f t="shared" si="3"/>
        <v>0</v>
      </c>
      <c r="AQ6" s="106">
        <f t="shared" si="3"/>
        <v>0</v>
      </c>
      <c r="AR6" s="106">
        <f t="shared" si="3"/>
        <v>0</v>
      </c>
      <c r="AS6" s="106">
        <f t="shared" si="3"/>
        <v>0</v>
      </c>
      <c r="AT6" s="106">
        <f t="shared" si="3"/>
        <v>0</v>
      </c>
      <c r="AU6" s="106">
        <f t="shared" si="3"/>
        <v>0</v>
      </c>
      <c r="AV6" s="106">
        <f t="shared" si="3"/>
        <v>0</v>
      </c>
      <c r="AW6" s="106">
        <f t="shared" si="3"/>
        <v>0</v>
      </c>
      <c r="AX6" s="106">
        <f t="shared" si="3"/>
        <v>0</v>
      </c>
      <c r="AY6" s="105">
        <f t="shared" ref="AY6:AY22" si="11">SUM(AI6:AX6)</f>
        <v>0</v>
      </c>
      <c r="AZ6" s="107">
        <f t="shared" ref="AZ6:AZ22" si="12">AY6/60</f>
        <v>0</v>
      </c>
      <c r="BA6" s="107">
        <f t="shared" ref="BA6:BA22" si="13">AZ6/$AZ$1</f>
        <v>0</v>
      </c>
      <c r="BB6" s="107">
        <f t="shared" ref="BB6:BB22" si="14">AZ6/2</f>
        <v>0</v>
      </c>
      <c r="BC6" s="108">
        <f t="shared" ref="BC6:BR6" si="4">R6*BC$4</f>
        <v>0</v>
      </c>
      <c r="BD6" s="109">
        <f t="shared" si="4"/>
        <v>0</v>
      </c>
      <c r="BE6" s="109">
        <f t="shared" si="4"/>
        <v>0</v>
      </c>
      <c r="BF6" s="109">
        <f t="shared" si="4"/>
        <v>0</v>
      </c>
      <c r="BG6" s="109">
        <f t="shared" si="4"/>
        <v>0</v>
      </c>
      <c r="BH6" s="109">
        <f t="shared" si="4"/>
        <v>0</v>
      </c>
      <c r="BI6" s="109">
        <f t="shared" si="4"/>
        <v>0</v>
      </c>
      <c r="BJ6" s="109">
        <f t="shared" si="4"/>
        <v>0</v>
      </c>
      <c r="BK6" s="109">
        <f t="shared" si="4"/>
        <v>0</v>
      </c>
      <c r="BL6" s="109">
        <f t="shared" si="4"/>
        <v>0</v>
      </c>
      <c r="BM6" s="109">
        <f t="shared" si="4"/>
        <v>0</v>
      </c>
      <c r="BN6" s="109">
        <f t="shared" si="4"/>
        <v>0</v>
      </c>
      <c r="BO6" s="109">
        <f t="shared" si="4"/>
        <v>0</v>
      </c>
      <c r="BP6" s="109">
        <f t="shared" si="4"/>
        <v>0</v>
      </c>
      <c r="BQ6" s="109">
        <f t="shared" si="4"/>
        <v>0</v>
      </c>
      <c r="BR6" s="109">
        <f t="shared" si="4"/>
        <v>0</v>
      </c>
      <c r="BS6" s="110">
        <f t="shared" ref="BS6:BS8" si="16">sum(BC6:BR6)</f>
        <v>0</v>
      </c>
      <c r="BT6" s="96"/>
    </row>
    <row r="7">
      <c r="A7" s="97"/>
      <c r="B7" s="97" t="s">
        <v>200</v>
      </c>
      <c r="C7" s="97" t="s">
        <v>201</v>
      </c>
      <c r="D7" s="111" t="str">
        <f t="shared" ref="D7:F7" si="5">$B7</f>
        <v>documenti</v>
      </c>
      <c r="E7" s="112" t="str">
        <f t="shared" si="5"/>
        <v>documenti</v>
      </c>
      <c r="F7" s="112" t="str">
        <f t="shared" si="5"/>
        <v>documenti</v>
      </c>
      <c r="G7" s="99"/>
      <c r="H7" s="112" t="str">
        <f t="shared" ref="H7:I7" si="6">$B7</f>
        <v>documenti</v>
      </c>
      <c r="I7" s="112" t="str">
        <f t="shared" si="6"/>
        <v>documenti</v>
      </c>
      <c r="J7" s="100"/>
      <c r="K7" s="101" t="str">
        <f t="shared" si="7"/>
        <v>documenti</v>
      </c>
      <c r="L7" s="101" t="str">
        <f t="shared" ref="L7:L9" si="18">C7</f>
        <v>upload</v>
      </c>
      <c r="M7" s="101" t="str">
        <f t="shared" si="8"/>
        <v>upload</v>
      </c>
      <c r="N7" s="101" t="str">
        <f t="shared" ref="N7:N8" si="19">C7</f>
        <v>upload</v>
      </c>
      <c r="O7" s="79"/>
      <c r="P7" s="113"/>
      <c r="Q7" s="79"/>
      <c r="R7" s="102">
        <f>IFERROR(__xludf.DUMMYFUNCTION("(COUNTA(SPLIT(B7,"","",TRUE)) - NOT(LEN(B7)))"),1.0)</f>
        <v>1</v>
      </c>
      <c r="S7" s="103">
        <f>IFERROR(__xludf.DUMMYFUNCTION("(COUNTA(SPLIT(C7,"","",TRUE)) - NOT(LEN(C7)))"),1.0)</f>
        <v>1</v>
      </c>
      <c r="T7" s="103">
        <f>IFERROR(__xludf.DUMMYFUNCTION("(COUNTA(SPLIT(D7,"","",TRUE)) - NOT(LEN(D7)))"),1.0)</f>
        <v>1</v>
      </c>
      <c r="U7" s="103">
        <f>IFERROR(__xludf.DUMMYFUNCTION("(COUNTA(SPLIT(E7,"","",TRUE)) - NOT(LEN(E7)))"),1.0)</f>
        <v>1</v>
      </c>
      <c r="V7" s="103">
        <f>IFERROR(__xludf.DUMMYFUNCTION("(COUNTA(SPLIT(F7,"","",TRUE)) - NOT(LEN(F7)))"),1.0)</f>
        <v>1</v>
      </c>
      <c r="W7" s="103">
        <f>IFERROR(__xludf.DUMMYFUNCTION("(COUNTA(SPLIT(G7,"","",TRUE)) - NOT(LEN(G7)))"),0.0)</f>
        <v>0</v>
      </c>
      <c r="X7" s="103">
        <f>IFERROR(__xludf.DUMMYFUNCTION("(COUNTA(SPLIT(H7,"","",TRUE)) - NOT(LEN(H7)))"),1.0)</f>
        <v>1</v>
      </c>
      <c r="Y7" s="103">
        <f>IFERROR(__xludf.DUMMYFUNCTION("(COUNTA(SPLIT(I7,"","",TRUE)) - NOT(LEN(I7)))"),1.0)</f>
        <v>1</v>
      </c>
      <c r="Z7" s="103">
        <f>IFERROR(__xludf.DUMMYFUNCTION("(COUNTA(SPLIT(J7,"","",TRUE)) - NOT(LEN(J7)))"),0.0)</f>
        <v>0</v>
      </c>
      <c r="AA7" s="103">
        <f>IFERROR(__xludf.DUMMYFUNCTION("(COUNTA(SPLIT(K7,"","",TRUE)) - NOT(LEN(K7)))"),1.0)</f>
        <v>1</v>
      </c>
      <c r="AB7" s="103">
        <f>IFERROR(__xludf.DUMMYFUNCTION("(COUNTA(SPLIT(L7,"","",TRUE)) - NOT(LEN(L7)))"),1.0)</f>
        <v>1</v>
      </c>
      <c r="AC7" s="103">
        <f>IFERROR(__xludf.DUMMYFUNCTION("(COUNTA(SPLIT(M7,"","",TRUE)) - NOT(LEN(M7)))"),1.0)</f>
        <v>1</v>
      </c>
      <c r="AD7" s="103">
        <f>IFERROR(__xludf.DUMMYFUNCTION("(COUNTA(SPLIT(N7,"","",TRUE)) - NOT(LEN(N7)))"),1.0)</f>
        <v>1</v>
      </c>
      <c r="AE7" s="103">
        <f>IFERROR(__xludf.DUMMYFUNCTION("(COUNTA(SPLIT(O7,"","",TRUE)) - NOT(LEN(O7)))"),0.0)</f>
        <v>0</v>
      </c>
      <c r="AF7" s="103">
        <f>IFERROR(__xludf.DUMMYFUNCTION("(COUNTA(SPLIT(P7,"","",TRUE)) - NOT(LEN(P7)))"),0.0)</f>
        <v>0</v>
      </c>
      <c r="AG7" s="103">
        <f>IFERROR(__xludf.DUMMYFUNCTION("(COUNTA(SPLIT(Q7,"","",TRUE)) - NOT(LEN(Q7)))"),0.0)</f>
        <v>0</v>
      </c>
      <c r="AH7" s="104">
        <f t="shared" si="9"/>
        <v>11</v>
      </c>
      <c r="AI7" s="105">
        <f t="shared" ref="AI7:AX7" si="10">R7*AI$4</f>
        <v>25</v>
      </c>
      <c r="AJ7" s="106">
        <f t="shared" si="10"/>
        <v>10</v>
      </c>
      <c r="AK7" s="106">
        <f t="shared" si="10"/>
        <v>25</v>
      </c>
      <c r="AL7" s="106">
        <f t="shared" si="10"/>
        <v>35</v>
      </c>
      <c r="AM7" s="106">
        <f t="shared" si="10"/>
        <v>35</v>
      </c>
      <c r="AN7" s="106">
        <f t="shared" si="10"/>
        <v>0</v>
      </c>
      <c r="AO7" s="106">
        <f t="shared" si="10"/>
        <v>5</v>
      </c>
      <c r="AP7" s="106">
        <f t="shared" si="10"/>
        <v>35</v>
      </c>
      <c r="AQ7" s="106">
        <f t="shared" si="10"/>
        <v>0</v>
      </c>
      <c r="AR7" s="106">
        <f t="shared" si="10"/>
        <v>40</v>
      </c>
      <c r="AS7" s="106">
        <f t="shared" si="10"/>
        <v>10</v>
      </c>
      <c r="AT7" s="106">
        <f t="shared" si="10"/>
        <v>5</v>
      </c>
      <c r="AU7" s="106">
        <f t="shared" si="10"/>
        <v>15</v>
      </c>
      <c r="AV7" s="106">
        <f t="shared" si="10"/>
        <v>0</v>
      </c>
      <c r="AW7" s="106">
        <f t="shared" si="10"/>
        <v>0</v>
      </c>
      <c r="AX7" s="106">
        <f t="shared" si="10"/>
        <v>0</v>
      </c>
      <c r="AY7" s="105">
        <f t="shared" si="11"/>
        <v>240</v>
      </c>
      <c r="AZ7" s="107">
        <f t="shared" si="12"/>
        <v>4</v>
      </c>
      <c r="BA7" s="107">
        <f t="shared" si="13"/>
        <v>0.5</v>
      </c>
      <c r="BB7" s="107">
        <f t="shared" si="14"/>
        <v>2</v>
      </c>
      <c r="BC7" s="108">
        <f t="shared" ref="BC7:BR7" si="15">R7*BC$4</f>
        <v>20.75</v>
      </c>
      <c r="BD7" s="109">
        <f t="shared" si="15"/>
        <v>8.3</v>
      </c>
      <c r="BE7" s="109">
        <f t="shared" si="15"/>
        <v>20.75</v>
      </c>
      <c r="BF7" s="109">
        <f t="shared" si="15"/>
        <v>29.05</v>
      </c>
      <c r="BG7" s="109">
        <f t="shared" si="15"/>
        <v>29.05</v>
      </c>
      <c r="BH7" s="109">
        <f t="shared" si="15"/>
        <v>0</v>
      </c>
      <c r="BI7" s="109">
        <f t="shared" si="15"/>
        <v>4.15</v>
      </c>
      <c r="BJ7" s="109">
        <f t="shared" si="15"/>
        <v>29.05</v>
      </c>
      <c r="BK7" s="109">
        <f t="shared" si="15"/>
        <v>0</v>
      </c>
      <c r="BL7" s="109">
        <f t="shared" si="15"/>
        <v>33.2</v>
      </c>
      <c r="BM7" s="109">
        <f t="shared" si="15"/>
        <v>8.3</v>
      </c>
      <c r="BN7" s="109">
        <f t="shared" si="15"/>
        <v>4.15</v>
      </c>
      <c r="BO7" s="109">
        <f t="shared" si="15"/>
        <v>12.45</v>
      </c>
      <c r="BP7" s="109">
        <f t="shared" si="15"/>
        <v>0</v>
      </c>
      <c r="BQ7" s="109">
        <f t="shared" si="15"/>
        <v>0</v>
      </c>
      <c r="BR7" s="109">
        <f t="shared" si="15"/>
        <v>0</v>
      </c>
      <c r="BS7" s="110">
        <f t="shared" si="16"/>
        <v>199.2</v>
      </c>
      <c r="BT7" s="114"/>
    </row>
    <row r="8">
      <c r="A8" s="97"/>
      <c r="B8" s="97"/>
      <c r="C8" s="97"/>
      <c r="D8" s="98" t="str">
        <f t="shared" ref="D8:I8" si="17">$B8</f>
        <v/>
      </c>
      <c r="E8" s="99" t="str">
        <f t="shared" si="17"/>
        <v/>
      </c>
      <c r="F8" s="99" t="str">
        <f t="shared" si="17"/>
        <v/>
      </c>
      <c r="G8" s="99" t="str">
        <f t="shared" si="17"/>
        <v/>
      </c>
      <c r="H8" s="99" t="str">
        <f t="shared" si="17"/>
        <v/>
      </c>
      <c r="I8" s="99" t="str">
        <f t="shared" si="17"/>
        <v/>
      </c>
      <c r="J8" s="71"/>
      <c r="K8" s="71" t="str">
        <f t="shared" si="7"/>
        <v/>
      </c>
      <c r="L8" s="112" t="str">
        <f t="shared" si="18"/>
        <v/>
      </c>
      <c r="M8" s="112" t="str">
        <f t="shared" si="8"/>
        <v/>
      </c>
      <c r="N8" s="112" t="str">
        <f t="shared" si="19"/>
        <v/>
      </c>
      <c r="O8" s="99"/>
      <c r="P8" s="99"/>
      <c r="Q8" s="99"/>
      <c r="R8" s="102">
        <f>IFERROR(__xludf.DUMMYFUNCTION("(COUNTA(SPLIT(B8,"","",TRUE)) - NOT(LEN(B8)))"),0.0)</f>
        <v>0</v>
      </c>
      <c r="S8" s="103">
        <f>IFERROR(__xludf.DUMMYFUNCTION("(COUNTA(SPLIT(C8,"","",TRUE)) - NOT(LEN(C8)))"),0.0)</f>
        <v>0</v>
      </c>
      <c r="T8" s="103">
        <f>IFERROR(__xludf.DUMMYFUNCTION("(COUNTA(SPLIT(D8,"","",TRUE)) - NOT(LEN(D8)))"),0.0)</f>
        <v>0</v>
      </c>
      <c r="U8" s="103">
        <f>IFERROR(__xludf.DUMMYFUNCTION("(COUNTA(SPLIT(E8,"","",TRUE)) - NOT(LEN(E8)))"),0.0)</f>
        <v>0</v>
      </c>
      <c r="V8" s="103">
        <f>IFERROR(__xludf.DUMMYFUNCTION("(COUNTA(SPLIT(F8,"","",TRUE)) - NOT(LEN(F8)))"),0.0)</f>
        <v>0</v>
      </c>
      <c r="W8" s="103">
        <f>IFERROR(__xludf.DUMMYFUNCTION("(COUNTA(SPLIT(G8,"","",TRUE)) - NOT(LEN(G8)))"),0.0)</f>
        <v>0</v>
      </c>
      <c r="X8" s="103">
        <f>IFERROR(__xludf.DUMMYFUNCTION("(COUNTA(SPLIT(H8,"","",TRUE)) - NOT(LEN(H8)))"),0.0)</f>
        <v>0</v>
      </c>
      <c r="Y8" s="103">
        <f>IFERROR(__xludf.DUMMYFUNCTION("(COUNTA(SPLIT(I8,"","",TRUE)) - NOT(LEN(I8)))"),0.0)</f>
        <v>0</v>
      </c>
      <c r="Z8" s="103">
        <f>IFERROR(__xludf.DUMMYFUNCTION("(COUNTA(SPLIT(J8,"","",TRUE)) - NOT(LEN(J8)))"),0.0)</f>
        <v>0</v>
      </c>
      <c r="AA8" s="103">
        <f>IFERROR(__xludf.DUMMYFUNCTION("(COUNTA(SPLIT(K8,"","",TRUE)) - NOT(LEN(K8)))"),0.0)</f>
        <v>0</v>
      </c>
      <c r="AB8" s="103">
        <f>IFERROR(__xludf.DUMMYFUNCTION("(COUNTA(SPLIT(L8,"","",TRUE)) - NOT(LEN(L8)))"),0.0)</f>
        <v>0</v>
      </c>
      <c r="AC8" s="103">
        <f>IFERROR(__xludf.DUMMYFUNCTION("(COUNTA(SPLIT(M8,"","",TRUE)) - NOT(LEN(M8)))"),0.0)</f>
        <v>0</v>
      </c>
      <c r="AD8" s="103">
        <f>IFERROR(__xludf.DUMMYFUNCTION("(COUNTA(SPLIT(N8,"","",TRUE)) - NOT(LEN(N8)))"),0.0)</f>
        <v>0</v>
      </c>
      <c r="AE8" s="103">
        <f>IFERROR(__xludf.DUMMYFUNCTION("(COUNTA(SPLIT(O8,"","",TRUE)) - NOT(LEN(O8)))"),0.0)</f>
        <v>0</v>
      </c>
      <c r="AF8" s="103">
        <f>IFERROR(__xludf.DUMMYFUNCTION("(COUNTA(SPLIT(P8,"","",TRUE)) - NOT(LEN(P8)))"),0.0)</f>
        <v>0</v>
      </c>
      <c r="AG8" s="103">
        <f>IFERROR(__xludf.DUMMYFUNCTION("(COUNTA(SPLIT(Q8,"","",TRUE)) - NOT(LEN(Q8)))"),0.0)</f>
        <v>0</v>
      </c>
      <c r="AH8" s="104">
        <f t="shared" si="9"/>
        <v>0</v>
      </c>
      <c r="AI8" s="105">
        <f t="shared" ref="AI8:AX8" si="20">R8*AI$4</f>
        <v>0</v>
      </c>
      <c r="AJ8" s="106">
        <f t="shared" si="20"/>
        <v>0</v>
      </c>
      <c r="AK8" s="106">
        <f t="shared" si="20"/>
        <v>0</v>
      </c>
      <c r="AL8" s="106">
        <f t="shared" si="20"/>
        <v>0</v>
      </c>
      <c r="AM8" s="106">
        <f t="shared" si="20"/>
        <v>0</v>
      </c>
      <c r="AN8" s="106">
        <f t="shared" si="20"/>
        <v>0</v>
      </c>
      <c r="AO8" s="106">
        <f t="shared" si="20"/>
        <v>0</v>
      </c>
      <c r="AP8" s="106">
        <f t="shared" si="20"/>
        <v>0</v>
      </c>
      <c r="AQ8" s="106">
        <f t="shared" si="20"/>
        <v>0</v>
      </c>
      <c r="AR8" s="106">
        <f t="shared" si="20"/>
        <v>0</v>
      </c>
      <c r="AS8" s="106">
        <f t="shared" si="20"/>
        <v>0</v>
      </c>
      <c r="AT8" s="106">
        <f t="shared" si="20"/>
        <v>0</v>
      </c>
      <c r="AU8" s="106">
        <f t="shared" si="20"/>
        <v>0</v>
      </c>
      <c r="AV8" s="106">
        <f t="shared" si="20"/>
        <v>0</v>
      </c>
      <c r="AW8" s="106">
        <f t="shared" si="20"/>
        <v>0</v>
      </c>
      <c r="AX8" s="106">
        <f t="shared" si="20"/>
        <v>0</v>
      </c>
      <c r="AY8" s="105">
        <f t="shared" si="11"/>
        <v>0</v>
      </c>
      <c r="AZ8" s="107">
        <f t="shared" si="12"/>
        <v>0</v>
      </c>
      <c r="BA8" s="107">
        <f t="shared" si="13"/>
        <v>0</v>
      </c>
      <c r="BB8" s="107">
        <f t="shared" si="14"/>
        <v>0</v>
      </c>
      <c r="BC8" s="108">
        <f t="shared" ref="BC8:BR8" si="21">R8*BC$4</f>
        <v>0</v>
      </c>
      <c r="BD8" s="109">
        <f t="shared" si="21"/>
        <v>0</v>
      </c>
      <c r="BE8" s="109">
        <f t="shared" si="21"/>
        <v>0</v>
      </c>
      <c r="BF8" s="109">
        <f t="shared" si="21"/>
        <v>0</v>
      </c>
      <c r="BG8" s="109">
        <f t="shared" si="21"/>
        <v>0</v>
      </c>
      <c r="BH8" s="109">
        <f t="shared" si="21"/>
        <v>0</v>
      </c>
      <c r="BI8" s="109">
        <f t="shared" si="21"/>
        <v>0</v>
      </c>
      <c r="BJ8" s="109">
        <f t="shared" si="21"/>
        <v>0</v>
      </c>
      <c r="BK8" s="109">
        <f t="shared" si="21"/>
        <v>0</v>
      </c>
      <c r="BL8" s="109">
        <f t="shared" si="21"/>
        <v>0</v>
      </c>
      <c r="BM8" s="109">
        <f t="shared" si="21"/>
        <v>0</v>
      </c>
      <c r="BN8" s="109">
        <f t="shared" si="21"/>
        <v>0</v>
      </c>
      <c r="BO8" s="109">
        <f t="shared" si="21"/>
        <v>0</v>
      </c>
      <c r="BP8" s="109">
        <f t="shared" si="21"/>
        <v>0</v>
      </c>
      <c r="BQ8" s="109">
        <f t="shared" si="21"/>
        <v>0</v>
      </c>
      <c r="BR8" s="109">
        <f t="shared" si="21"/>
        <v>0</v>
      </c>
      <c r="BS8" s="110">
        <f t="shared" si="16"/>
        <v>0</v>
      </c>
      <c r="BT8" s="114"/>
    </row>
    <row r="9">
      <c r="A9" s="97"/>
      <c r="B9" s="97"/>
      <c r="C9" s="97"/>
      <c r="D9" s="111" t="str">
        <f t="shared" ref="D9:D22" si="24">$B9</f>
        <v/>
      </c>
      <c r="E9" s="99"/>
      <c r="F9" s="99"/>
      <c r="G9" s="99"/>
      <c r="H9" s="99"/>
      <c r="I9" s="99"/>
      <c r="J9" s="71"/>
      <c r="K9" s="71"/>
      <c r="L9" s="112" t="str">
        <f t="shared" si="18"/>
        <v/>
      </c>
      <c r="M9" s="112" t="str">
        <f t="shared" si="8"/>
        <v/>
      </c>
      <c r="N9" s="99"/>
      <c r="O9" s="99"/>
      <c r="P9" s="99"/>
      <c r="Q9" s="99"/>
      <c r="R9" s="102">
        <f>IFERROR(__xludf.DUMMYFUNCTION("(COUNTA(SPLIT(B9,"","",TRUE)) - NOT(LEN(B9)))"),0.0)</f>
        <v>0</v>
      </c>
      <c r="S9" s="103">
        <f>IFERROR(__xludf.DUMMYFUNCTION("(COUNTA(SPLIT(C9,"","",TRUE)) - NOT(LEN(C9)))"),0.0)</f>
        <v>0</v>
      </c>
      <c r="T9" s="103">
        <f>IFERROR(__xludf.DUMMYFUNCTION("(COUNTA(SPLIT(D9,"","",TRUE)) - NOT(LEN(D9)))"),0.0)</f>
        <v>0</v>
      </c>
      <c r="U9" s="103">
        <f>IFERROR(__xludf.DUMMYFUNCTION("(COUNTA(SPLIT(E9,"","",TRUE)) - NOT(LEN(E9)))"),0.0)</f>
        <v>0</v>
      </c>
      <c r="V9" s="103">
        <f>IFERROR(__xludf.DUMMYFUNCTION("(COUNTA(SPLIT(F9,"","",TRUE)) - NOT(LEN(F9)))"),0.0)</f>
        <v>0</v>
      </c>
      <c r="W9" s="103">
        <f>IFERROR(__xludf.DUMMYFUNCTION("(COUNTA(SPLIT(G9,"","",TRUE)) - NOT(LEN(G9)))"),0.0)</f>
        <v>0</v>
      </c>
      <c r="X9" s="103">
        <f>IFERROR(__xludf.DUMMYFUNCTION("(COUNTA(SPLIT(H9,"","",TRUE)) - NOT(LEN(H9)))"),0.0)</f>
        <v>0</v>
      </c>
      <c r="Y9" s="103">
        <f>IFERROR(__xludf.DUMMYFUNCTION("(COUNTA(SPLIT(I9,"","",TRUE)) - NOT(LEN(I9)))"),0.0)</f>
        <v>0</v>
      </c>
      <c r="Z9" s="103">
        <f>IFERROR(__xludf.DUMMYFUNCTION("(COUNTA(SPLIT(J9,"","",TRUE)) - NOT(LEN(J9)))"),0.0)</f>
        <v>0</v>
      </c>
      <c r="AA9" s="103">
        <f>IFERROR(__xludf.DUMMYFUNCTION("(COUNTA(SPLIT(K9,"","",TRUE)) - NOT(LEN(K9)))"),0.0)</f>
        <v>0</v>
      </c>
      <c r="AB9" s="103">
        <f>IFERROR(__xludf.DUMMYFUNCTION("(COUNTA(SPLIT(L9,"","",TRUE)) - NOT(LEN(L9)))"),0.0)</f>
        <v>0</v>
      </c>
      <c r="AC9" s="103">
        <f>IFERROR(__xludf.DUMMYFUNCTION("(COUNTA(SPLIT(M9,"","",TRUE)) - NOT(LEN(M9)))"),0.0)</f>
        <v>0</v>
      </c>
      <c r="AD9" s="103">
        <f>IFERROR(__xludf.DUMMYFUNCTION("(COUNTA(SPLIT(N9,"","",TRUE)) - NOT(LEN(N9)))"),0.0)</f>
        <v>0</v>
      </c>
      <c r="AE9" s="103">
        <f>IFERROR(__xludf.DUMMYFUNCTION("(COUNTA(SPLIT(O9,"","",TRUE)) - NOT(LEN(O9)))"),0.0)</f>
        <v>0</v>
      </c>
      <c r="AF9" s="103">
        <f>IFERROR(__xludf.DUMMYFUNCTION("(COUNTA(SPLIT(P9,"","",TRUE)) - NOT(LEN(P9)))"),0.0)</f>
        <v>0</v>
      </c>
      <c r="AG9" s="103">
        <f>IFERROR(__xludf.DUMMYFUNCTION("(COUNTA(SPLIT(Q9,"","",TRUE)) - NOT(LEN(Q9)))"),0.0)</f>
        <v>0</v>
      </c>
      <c r="AH9" s="104">
        <f t="shared" si="9"/>
        <v>0</v>
      </c>
      <c r="AI9" s="105">
        <f t="shared" ref="AI9:AX9" si="22">R9*AI$4</f>
        <v>0</v>
      </c>
      <c r="AJ9" s="106">
        <f t="shared" si="22"/>
        <v>0</v>
      </c>
      <c r="AK9" s="106">
        <f t="shared" si="22"/>
        <v>0</v>
      </c>
      <c r="AL9" s="106">
        <f t="shared" si="22"/>
        <v>0</v>
      </c>
      <c r="AM9" s="106">
        <f t="shared" si="22"/>
        <v>0</v>
      </c>
      <c r="AN9" s="106">
        <f t="shared" si="22"/>
        <v>0</v>
      </c>
      <c r="AO9" s="106">
        <f t="shared" si="22"/>
        <v>0</v>
      </c>
      <c r="AP9" s="106">
        <f t="shared" si="22"/>
        <v>0</v>
      </c>
      <c r="AQ9" s="106">
        <f t="shared" si="22"/>
        <v>0</v>
      </c>
      <c r="AR9" s="106">
        <f t="shared" si="22"/>
        <v>0</v>
      </c>
      <c r="AS9" s="106">
        <f t="shared" si="22"/>
        <v>0</v>
      </c>
      <c r="AT9" s="106">
        <f t="shared" si="22"/>
        <v>0</v>
      </c>
      <c r="AU9" s="106">
        <f t="shared" si="22"/>
        <v>0</v>
      </c>
      <c r="AV9" s="106">
        <f t="shared" si="22"/>
        <v>0</v>
      </c>
      <c r="AW9" s="106">
        <f t="shared" si="22"/>
        <v>0</v>
      </c>
      <c r="AX9" s="106">
        <f t="shared" si="22"/>
        <v>0</v>
      </c>
      <c r="AY9" s="105">
        <f t="shared" si="11"/>
        <v>0</v>
      </c>
      <c r="AZ9" s="107">
        <f t="shared" si="12"/>
        <v>0</v>
      </c>
      <c r="BA9" s="107">
        <f t="shared" si="13"/>
        <v>0</v>
      </c>
      <c r="BB9" s="107">
        <f t="shared" si="14"/>
        <v>0</v>
      </c>
      <c r="BC9" s="108">
        <f t="shared" ref="BC9:BR9" si="23">R9*BC$4</f>
        <v>0</v>
      </c>
      <c r="BD9" s="109">
        <f t="shared" si="23"/>
        <v>0</v>
      </c>
      <c r="BE9" s="109">
        <f t="shared" si="23"/>
        <v>0</v>
      </c>
      <c r="BF9" s="109">
        <f t="shared" si="23"/>
        <v>0</v>
      </c>
      <c r="BG9" s="109">
        <f t="shared" si="23"/>
        <v>0</v>
      </c>
      <c r="BH9" s="109">
        <f t="shared" si="23"/>
        <v>0</v>
      </c>
      <c r="BI9" s="109">
        <f t="shared" si="23"/>
        <v>0</v>
      </c>
      <c r="BJ9" s="109">
        <f t="shared" si="23"/>
        <v>0</v>
      </c>
      <c r="BK9" s="109">
        <f t="shared" si="23"/>
        <v>0</v>
      </c>
      <c r="BL9" s="109">
        <f t="shared" si="23"/>
        <v>0</v>
      </c>
      <c r="BM9" s="109">
        <f t="shared" si="23"/>
        <v>0</v>
      </c>
      <c r="BN9" s="109">
        <f t="shared" si="23"/>
        <v>0</v>
      </c>
      <c r="BO9" s="109">
        <f t="shared" si="23"/>
        <v>0</v>
      </c>
      <c r="BP9" s="109">
        <f t="shared" si="23"/>
        <v>0</v>
      </c>
      <c r="BQ9" s="109">
        <f t="shared" si="23"/>
        <v>0</v>
      </c>
      <c r="BR9" s="109">
        <f t="shared" si="23"/>
        <v>0</v>
      </c>
      <c r="BS9" s="110"/>
      <c r="BT9" s="114"/>
    </row>
    <row r="10">
      <c r="A10" s="97"/>
      <c r="B10" s="97"/>
      <c r="C10" s="97"/>
      <c r="D10" s="98" t="str">
        <f t="shared" si="24"/>
        <v/>
      </c>
      <c r="E10" s="99" t="str">
        <f t="shared" ref="E10:I10" si="25">$B10</f>
        <v/>
      </c>
      <c r="F10" s="99" t="str">
        <f t="shared" si="25"/>
        <v/>
      </c>
      <c r="G10" s="99" t="str">
        <f t="shared" si="25"/>
        <v/>
      </c>
      <c r="H10" s="99" t="str">
        <f t="shared" si="25"/>
        <v/>
      </c>
      <c r="I10" s="99" t="str">
        <f t="shared" si="25"/>
        <v/>
      </c>
      <c r="J10" s="71"/>
      <c r="K10" s="71" t="str">
        <f t="shared" ref="K10:L10" si="26">B10</f>
        <v/>
      </c>
      <c r="L10" s="99" t="str">
        <f t="shared" si="26"/>
        <v/>
      </c>
      <c r="M10" s="99" t="str">
        <f t="shared" si="8"/>
        <v/>
      </c>
      <c r="N10" s="99" t="str">
        <f t="shared" ref="N10:N22" si="31">C10</f>
        <v/>
      </c>
      <c r="O10" s="99"/>
      <c r="P10" s="99"/>
      <c r="Q10" s="99"/>
      <c r="R10" s="102">
        <f>IFERROR(__xludf.DUMMYFUNCTION("(COUNTA(SPLIT(B10,"","",TRUE)) - NOT(LEN(B10)))"),0.0)</f>
        <v>0</v>
      </c>
      <c r="S10" s="103">
        <f>IFERROR(__xludf.DUMMYFUNCTION("(COUNTA(SPLIT(C10,"","",TRUE)) - NOT(LEN(C10)))"),0.0)</f>
        <v>0</v>
      </c>
      <c r="T10" s="103">
        <f>IFERROR(__xludf.DUMMYFUNCTION("(COUNTA(SPLIT(D10,"","",TRUE)) - NOT(LEN(D10)))"),0.0)</f>
        <v>0</v>
      </c>
      <c r="U10" s="103">
        <f>IFERROR(__xludf.DUMMYFUNCTION("(COUNTA(SPLIT(E10,"","",TRUE)) - NOT(LEN(E10)))"),0.0)</f>
        <v>0</v>
      </c>
      <c r="V10" s="103">
        <f>IFERROR(__xludf.DUMMYFUNCTION("(COUNTA(SPLIT(F10,"","",TRUE)) - NOT(LEN(F10)))"),0.0)</f>
        <v>0</v>
      </c>
      <c r="W10" s="103">
        <f>IFERROR(__xludf.DUMMYFUNCTION("(COUNTA(SPLIT(G10,"","",TRUE)) - NOT(LEN(G10)))"),0.0)</f>
        <v>0</v>
      </c>
      <c r="X10" s="103">
        <f>IFERROR(__xludf.DUMMYFUNCTION("(COUNTA(SPLIT(H10,"","",TRUE)) - NOT(LEN(H10)))"),0.0)</f>
        <v>0</v>
      </c>
      <c r="Y10" s="103">
        <f>IFERROR(__xludf.DUMMYFUNCTION("(COUNTA(SPLIT(I10,"","",TRUE)) - NOT(LEN(I10)))"),0.0)</f>
        <v>0</v>
      </c>
      <c r="Z10" s="103">
        <f>IFERROR(__xludf.DUMMYFUNCTION("(COUNTA(SPLIT(J10,"","",TRUE)) - NOT(LEN(J10)))"),0.0)</f>
        <v>0</v>
      </c>
      <c r="AA10" s="103">
        <f>IFERROR(__xludf.DUMMYFUNCTION("(COUNTA(SPLIT(K10,"","",TRUE)) - NOT(LEN(K10)))"),0.0)</f>
        <v>0</v>
      </c>
      <c r="AB10" s="103">
        <f>IFERROR(__xludf.DUMMYFUNCTION("(COUNTA(SPLIT(L10,"","",TRUE)) - NOT(LEN(L10)))"),0.0)</f>
        <v>0</v>
      </c>
      <c r="AC10" s="103">
        <f>IFERROR(__xludf.DUMMYFUNCTION("(COUNTA(SPLIT(M10,"","",TRUE)) - NOT(LEN(M10)))"),0.0)</f>
        <v>0</v>
      </c>
      <c r="AD10" s="103">
        <f>IFERROR(__xludf.DUMMYFUNCTION("(COUNTA(SPLIT(N10,"","",TRUE)) - NOT(LEN(N10)))"),0.0)</f>
        <v>0</v>
      </c>
      <c r="AE10" s="103">
        <f>IFERROR(__xludf.DUMMYFUNCTION("(COUNTA(SPLIT(O10,"","",TRUE)) - NOT(LEN(O10)))"),0.0)</f>
        <v>0</v>
      </c>
      <c r="AF10" s="103">
        <f>IFERROR(__xludf.DUMMYFUNCTION("(COUNTA(SPLIT(P10,"","",TRUE)) - NOT(LEN(P10)))"),0.0)</f>
        <v>0</v>
      </c>
      <c r="AG10" s="103">
        <f>IFERROR(__xludf.DUMMYFUNCTION("(COUNTA(SPLIT(Q10,"","",TRUE)) - NOT(LEN(Q10)))"),0.0)</f>
        <v>0</v>
      </c>
      <c r="AH10" s="104">
        <f t="shared" si="9"/>
        <v>0</v>
      </c>
      <c r="AI10" s="105">
        <f t="shared" ref="AI10:AX10" si="27">R10*AI$4</f>
        <v>0</v>
      </c>
      <c r="AJ10" s="106">
        <f t="shared" si="27"/>
        <v>0</v>
      </c>
      <c r="AK10" s="106">
        <f t="shared" si="27"/>
        <v>0</v>
      </c>
      <c r="AL10" s="106">
        <f t="shared" si="27"/>
        <v>0</v>
      </c>
      <c r="AM10" s="106">
        <f t="shared" si="27"/>
        <v>0</v>
      </c>
      <c r="AN10" s="106">
        <f t="shared" si="27"/>
        <v>0</v>
      </c>
      <c r="AO10" s="106">
        <f t="shared" si="27"/>
        <v>0</v>
      </c>
      <c r="AP10" s="106">
        <f t="shared" si="27"/>
        <v>0</v>
      </c>
      <c r="AQ10" s="106">
        <f t="shared" si="27"/>
        <v>0</v>
      </c>
      <c r="AR10" s="106">
        <f t="shared" si="27"/>
        <v>0</v>
      </c>
      <c r="AS10" s="106">
        <f t="shared" si="27"/>
        <v>0</v>
      </c>
      <c r="AT10" s="106">
        <f t="shared" si="27"/>
        <v>0</v>
      </c>
      <c r="AU10" s="106">
        <f t="shared" si="27"/>
        <v>0</v>
      </c>
      <c r="AV10" s="106">
        <f t="shared" si="27"/>
        <v>0</v>
      </c>
      <c r="AW10" s="106">
        <f t="shared" si="27"/>
        <v>0</v>
      </c>
      <c r="AX10" s="106">
        <f t="shared" si="27"/>
        <v>0</v>
      </c>
      <c r="AY10" s="105">
        <f t="shared" si="11"/>
        <v>0</v>
      </c>
      <c r="AZ10" s="107">
        <f t="shared" si="12"/>
        <v>0</v>
      </c>
      <c r="BA10" s="107">
        <f t="shared" si="13"/>
        <v>0</v>
      </c>
      <c r="BB10" s="107">
        <f t="shared" si="14"/>
        <v>0</v>
      </c>
      <c r="BC10" s="108">
        <f t="shared" ref="BC10:BR10" si="28">R10*BC$4</f>
        <v>0</v>
      </c>
      <c r="BD10" s="109">
        <f t="shared" si="28"/>
        <v>0</v>
      </c>
      <c r="BE10" s="109">
        <f t="shared" si="28"/>
        <v>0</v>
      </c>
      <c r="BF10" s="109">
        <f t="shared" si="28"/>
        <v>0</v>
      </c>
      <c r="BG10" s="109">
        <f t="shared" si="28"/>
        <v>0</v>
      </c>
      <c r="BH10" s="109">
        <f t="shared" si="28"/>
        <v>0</v>
      </c>
      <c r="BI10" s="109">
        <f t="shared" si="28"/>
        <v>0</v>
      </c>
      <c r="BJ10" s="109">
        <f t="shared" si="28"/>
        <v>0</v>
      </c>
      <c r="BK10" s="109">
        <f t="shared" si="28"/>
        <v>0</v>
      </c>
      <c r="BL10" s="109">
        <f t="shared" si="28"/>
        <v>0</v>
      </c>
      <c r="BM10" s="109">
        <f t="shared" si="28"/>
        <v>0</v>
      </c>
      <c r="BN10" s="109">
        <f t="shared" si="28"/>
        <v>0</v>
      </c>
      <c r="BO10" s="109">
        <f t="shared" si="28"/>
        <v>0</v>
      </c>
      <c r="BP10" s="109">
        <f t="shared" si="28"/>
        <v>0</v>
      </c>
      <c r="BQ10" s="109">
        <f t="shared" si="28"/>
        <v>0</v>
      </c>
      <c r="BR10" s="109">
        <f t="shared" si="28"/>
        <v>0</v>
      </c>
      <c r="BS10" s="110"/>
      <c r="BT10" s="114"/>
    </row>
    <row r="11">
      <c r="A11" s="97"/>
      <c r="B11" s="97"/>
      <c r="C11" s="97"/>
      <c r="D11" s="98" t="str">
        <f t="shared" si="24"/>
        <v/>
      </c>
      <c r="E11" s="99" t="str">
        <f t="shared" ref="E11:I11" si="29">$B11</f>
        <v/>
      </c>
      <c r="F11" s="99" t="str">
        <f t="shared" si="29"/>
        <v/>
      </c>
      <c r="G11" s="99" t="str">
        <f t="shared" si="29"/>
        <v/>
      </c>
      <c r="H11" s="99" t="str">
        <f t="shared" si="29"/>
        <v/>
      </c>
      <c r="I11" s="99" t="str">
        <f t="shared" si="29"/>
        <v/>
      </c>
      <c r="J11" s="71"/>
      <c r="K11" s="71" t="str">
        <f t="shared" ref="K11:L11" si="30">B11</f>
        <v/>
      </c>
      <c r="L11" s="99" t="str">
        <f t="shared" si="30"/>
        <v/>
      </c>
      <c r="M11" s="99" t="str">
        <f t="shared" si="8"/>
        <v/>
      </c>
      <c r="N11" s="99" t="str">
        <f t="shared" si="31"/>
        <v/>
      </c>
      <c r="O11" s="99"/>
      <c r="P11" s="99"/>
      <c r="Q11" s="99"/>
      <c r="R11" s="102">
        <f>IFERROR(__xludf.DUMMYFUNCTION("(COUNTA(SPLIT(B11,"","",TRUE)) - NOT(LEN(B11)))"),0.0)</f>
        <v>0</v>
      </c>
      <c r="S11" s="103">
        <f>IFERROR(__xludf.DUMMYFUNCTION("(COUNTA(SPLIT(C11,"","",TRUE)) - NOT(LEN(C11)))"),0.0)</f>
        <v>0</v>
      </c>
      <c r="T11" s="103">
        <f>IFERROR(__xludf.DUMMYFUNCTION("(COUNTA(SPLIT(D11,"","",TRUE)) - NOT(LEN(D11)))"),0.0)</f>
        <v>0</v>
      </c>
      <c r="U11" s="103">
        <f>IFERROR(__xludf.DUMMYFUNCTION("(COUNTA(SPLIT(E11,"","",TRUE)) - NOT(LEN(E11)))"),0.0)</f>
        <v>0</v>
      </c>
      <c r="V11" s="103">
        <f>IFERROR(__xludf.DUMMYFUNCTION("(COUNTA(SPLIT(F11,"","",TRUE)) - NOT(LEN(F11)))"),0.0)</f>
        <v>0</v>
      </c>
      <c r="W11" s="103">
        <f>IFERROR(__xludf.DUMMYFUNCTION("(COUNTA(SPLIT(G11,"","",TRUE)) - NOT(LEN(G11)))"),0.0)</f>
        <v>0</v>
      </c>
      <c r="X11" s="103">
        <f>IFERROR(__xludf.DUMMYFUNCTION("(COUNTA(SPLIT(H11,"","",TRUE)) - NOT(LEN(H11)))"),0.0)</f>
        <v>0</v>
      </c>
      <c r="Y11" s="103">
        <f>IFERROR(__xludf.DUMMYFUNCTION("(COUNTA(SPLIT(I11,"","",TRUE)) - NOT(LEN(I11)))"),0.0)</f>
        <v>0</v>
      </c>
      <c r="Z11" s="103">
        <f>IFERROR(__xludf.DUMMYFUNCTION("(COUNTA(SPLIT(J11,"","",TRUE)) - NOT(LEN(J11)))"),0.0)</f>
        <v>0</v>
      </c>
      <c r="AA11" s="103">
        <f>IFERROR(__xludf.DUMMYFUNCTION("(COUNTA(SPLIT(K11,"","",TRUE)) - NOT(LEN(K11)))"),0.0)</f>
        <v>0</v>
      </c>
      <c r="AB11" s="103">
        <f>IFERROR(__xludf.DUMMYFUNCTION("(COUNTA(SPLIT(L11,"","",TRUE)) - NOT(LEN(L11)))"),0.0)</f>
        <v>0</v>
      </c>
      <c r="AC11" s="103">
        <f>IFERROR(__xludf.DUMMYFUNCTION("(COUNTA(SPLIT(M11,"","",TRUE)) - NOT(LEN(M11)))"),0.0)</f>
        <v>0</v>
      </c>
      <c r="AD11" s="103">
        <f>IFERROR(__xludf.DUMMYFUNCTION("(COUNTA(SPLIT(N11,"","",TRUE)) - NOT(LEN(N11)))"),0.0)</f>
        <v>0</v>
      </c>
      <c r="AE11" s="103">
        <f>IFERROR(__xludf.DUMMYFUNCTION("(COUNTA(SPLIT(O11,"","",TRUE)) - NOT(LEN(O11)))"),0.0)</f>
        <v>0</v>
      </c>
      <c r="AF11" s="103">
        <f>IFERROR(__xludf.DUMMYFUNCTION("(COUNTA(SPLIT(P11,"","",TRUE)) - NOT(LEN(P11)))"),0.0)</f>
        <v>0</v>
      </c>
      <c r="AG11" s="103">
        <f>IFERROR(__xludf.DUMMYFUNCTION("(COUNTA(SPLIT(Q11,"","",TRUE)) - NOT(LEN(Q11)))"),0.0)</f>
        <v>0</v>
      </c>
      <c r="AH11" s="104">
        <f t="shared" si="9"/>
        <v>0</v>
      </c>
      <c r="AI11" s="105">
        <f t="shared" ref="AI11:AX11" si="32">R11*AI$4</f>
        <v>0</v>
      </c>
      <c r="AJ11" s="106">
        <f t="shared" si="32"/>
        <v>0</v>
      </c>
      <c r="AK11" s="106">
        <f t="shared" si="32"/>
        <v>0</v>
      </c>
      <c r="AL11" s="106">
        <f t="shared" si="32"/>
        <v>0</v>
      </c>
      <c r="AM11" s="106">
        <f t="shared" si="32"/>
        <v>0</v>
      </c>
      <c r="AN11" s="106">
        <f t="shared" si="32"/>
        <v>0</v>
      </c>
      <c r="AO11" s="106">
        <f t="shared" si="32"/>
        <v>0</v>
      </c>
      <c r="AP11" s="106">
        <f t="shared" si="32"/>
        <v>0</v>
      </c>
      <c r="AQ11" s="106">
        <f t="shared" si="32"/>
        <v>0</v>
      </c>
      <c r="AR11" s="106">
        <f t="shared" si="32"/>
        <v>0</v>
      </c>
      <c r="AS11" s="106">
        <f t="shared" si="32"/>
        <v>0</v>
      </c>
      <c r="AT11" s="106">
        <f t="shared" si="32"/>
        <v>0</v>
      </c>
      <c r="AU11" s="106">
        <f t="shared" si="32"/>
        <v>0</v>
      </c>
      <c r="AV11" s="106">
        <f t="shared" si="32"/>
        <v>0</v>
      </c>
      <c r="AW11" s="106">
        <f t="shared" si="32"/>
        <v>0</v>
      </c>
      <c r="AX11" s="106">
        <f t="shared" si="32"/>
        <v>0</v>
      </c>
      <c r="AY11" s="105">
        <f t="shared" si="11"/>
        <v>0</v>
      </c>
      <c r="AZ11" s="107">
        <f t="shared" si="12"/>
        <v>0</v>
      </c>
      <c r="BA11" s="107">
        <f t="shared" si="13"/>
        <v>0</v>
      </c>
      <c r="BB11" s="107">
        <f t="shared" si="14"/>
        <v>0</v>
      </c>
      <c r="BC11" s="108">
        <f t="shared" ref="BC11:BR11" si="33">R11*BC$4</f>
        <v>0</v>
      </c>
      <c r="BD11" s="109">
        <f t="shared" si="33"/>
        <v>0</v>
      </c>
      <c r="BE11" s="109">
        <f t="shared" si="33"/>
        <v>0</v>
      </c>
      <c r="BF11" s="109">
        <f t="shared" si="33"/>
        <v>0</v>
      </c>
      <c r="BG11" s="109">
        <f t="shared" si="33"/>
        <v>0</v>
      </c>
      <c r="BH11" s="109">
        <f t="shared" si="33"/>
        <v>0</v>
      </c>
      <c r="BI11" s="109">
        <f t="shared" si="33"/>
        <v>0</v>
      </c>
      <c r="BJ11" s="109">
        <f t="shared" si="33"/>
        <v>0</v>
      </c>
      <c r="BK11" s="109">
        <f t="shared" si="33"/>
        <v>0</v>
      </c>
      <c r="BL11" s="109">
        <f t="shared" si="33"/>
        <v>0</v>
      </c>
      <c r="BM11" s="109">
        <f t="shared" si="33"/>
        <v>0</v>
      </c>
      <c r="BN11" s="109">
        <f t="shared" si="33"/>
        <v>0</v>
      </c>
      <c r="BO11" s="109">
        <f t="shared" si="33"/>
        <v>0</v>
      </c>
      <c r="BP11" s="109">
        <f t="shared" si="33"/>
        <v>0</v>
      </c>
      <c r="BQ11" s="109">
        <f t="shared" si="33"/>
        <v>0</v>
      </c>
      <c r="BR11" s="109">
        <f t="shared" si="33"/>
        <v>0</v>
      </c>
      <c r="BS11" s="110">
        <f t="shared" ref="BS11:BS22" si="38">sum(BC11:BR11)</f>
        <v>0</v>
      </c>
      <c r="BT11" s="114"/>
    </row>
    <row r="12">
      <c r="A12" s="97"/>
      <c r="B12" s="97"/>
      <c r="C12" s="97"/>
      <c r="D12" s="98" t="str">
        <f t="shared" si="24"/>
        <v/>
      </c>
      <c r="E12" s="99" t="str">
        <f t="shared" ref="E12:I12" si="34">$B12</f>
        <v/>
      </c>
      <c r="F12" s="99" t="str">
        <f t="shared" si="34"/>
        <v/>
      </c>
      <c r="G12" s="99" t="str">
        <f t="shared" si="34"/>
        <v/>
      </c>
      <c r="H12" s="99" t="str">
        <f t="shared" si="34"/>
        <v/>
      </c>
      <c r="I12" s="99" t="str">
        <f t="shared" si="34"/>
        <v/>
      </c>
      <c r="J12" s="71"/>
      <c r="K12" s="71" t="str">
        <f t="shared" ref="K12:L12" si="35">B12</f>
        <v/>
      </c>
      <c r="L12" s="99" t="str">
        <f t="shared" si="35"/>
        <v/>
      </c>
      <c r="M12" s="99" t="str">
        <f t="shared" si="8"/>
        <v/>
      </c>
      <c r="N12" s="99" t="str">
        <f t="shared" si="31"/>
        <v/>
      </c>
      <c r="O12" s="99"/>
      <c r="P12" s="99"/>
      <c r="Q12" s="99"/>
      <c r="R12" s="102">
        <f>IFERROR(__xludf.DUMMYFUNCTION("(COUNTA(SPLIT(B12,"","",TRUE)) - NOT(LEN(B12)))"),0.0)</f>
        <v>0</v>
      </c>
      <c r="S12" s="103">
        <f>IFERROR(__xludf.DUMMYFUNCTION("(COUNTA(SPLIT(C12,"","",TRUE)) - NOT(LEN(C12)))"),0.0)</f>
        <v>0</v>
      </c>
      <c r="T12" s="103">
        <f>IFERROR(__xludf.DUMMYFUNCTION("(COUNTA(SPLIT(D12,"","",TRUE)) - NOT(LEN(D12)))"),0.0)</f>
        <v>0</v>
      </c>
      <c r="U12" s="103">
        <f>IFERROR(__xludf.DUMMYFUNCTION("(COUNTA(SPLIT(E12,"","",TRUE)) - NOT(LEN(E12)))"),0.0)</f>
        <v>0</v>
      </c>
      <c r="V12" s="103">
        <f>IFERROR(__xludf.DUMMYFUNCTION("(COUNTA(SPLIT(F12,"","",TRUE)) - NOT(LEN(F12)))"),0.0)</f>
        <v>0</v>
      </c>
      <c r="W12" s="103">
        <f>IFERROR(__xludf.DUMMYFUNCTION("(COUNTA(SPLIT(G12,"","",TRUE)) - NOT(LEN(G12)))"),0.0)</f>
        <v>0</v>
      </c>
      <c r="X12" s="103">
        <f>IFERROR(__xludf.DUMMYFUNCTION("(COUNTA(SPLIT(H12,"","",TRUE)) - NOT(LEN(H12)))"),0.0)</f>
        <v>0</v>
      </c>
      <c r="Y12" s="103">
        <f>IFERROR(__xludf.DUMMYFUNCTION("(COUNTA(SPLIT(I12,"","",TRUE)) - NOT(LEN(I12)))"),0.0)</f>
        <v>0</v>
      </c>
      <c r="Z12" s="103">
        <f>IFERROR(__xludf.DUMMYFUNCTION("(COUNTA(SPLIT(J12,"","",TRUE)) - NOT(LEN(J12)))"),0.0)</f>
        <v>0</v>
      </c>
      <c r="AA12" s="103">
        <f>IFERROR(__xludf.DUMMYFUNCTION("(COUNTA(SPLIT(K12,"","",TRUE)) - NOT(LEN(K12)))"),0.0)</f>
        <v>0</v>
      </c>
      <c r="AB12" s="103">
        <f>IFERROR(__xludf.DUMMYFUNCTION("(COUNTA(SPLIT(L12,"","",TRUE)) - NOT(LEN(L12)))"),0.0)</f>
        <v>0</v>
      </c>
      <c r="AC12" s="103">
        <f>IFERROR(__xludf.DUMMYFUNCTION("(COUNTA(SPLIT(M12,"","",TRUE)) - NOT(LEN(M12)))"),0.0)</f>
        <v>0</v>
      </c>
      <c r="AD12" s="103">
        <f>IFERROR(__xludf.DUMMYFUNCTION("(COUNTA(SPLIT(N12,"","",TRUE)) - NOT(LEN(N12)))"),0.0)</f>
        <v>0</v>
      </c>
      <c r="AE12" s="103">
        <f>IFERROR(__xludf.DUMMYFUNCTION("(COUNTA(SPLIT(O12,"","",TRUE)) - NOT(LEN(O12)))"),0.0)</f>
        <v>0</v>
      </c>
      <c r="AF12" s="103">
        <f>IFERROR(__xludf.DUMMYFUNCTION("(COUNTA(SPLIT(P12,"","",TRUE)) - NOT(LEN(P12)))"),0.0)</f>
        <v>0</v>
      </c>
      <c r="AG12" s="103">
        <f>IFERROR(__xludf.DUMMYFUNCTION("(COUNTA(SPLIT(Q12,"","",TRUE)) - NOT(LEN(Q12)))"),0.0)</f>
        <v>0</v>
      </c>
      <c r="AH12" s="104">
        <f t="shared" si="9"/>
        <v>0</v>
      </c>
      <c r="AI12" s="105">
        <f t="shared" ref="AI12:AX12" si="36">R12*AI$4</f>
        <v>0</v>
      </c>
      <c r="AJ12" s="106">
        <f t="shared" si="36"/>
        <v>0</v>
      </c>
      <c r="AK12" s="106">
        <f t="shared" si="36"/>
        <v>0</v>
      </c>
      <c r="AL12" s="106">
        <f t="shared" si="36"/>
        <v>0</v>
      </c>
      <c r="AM12" s="106">
        <f t="shared" si="36"/>
        <v>0</v>
      </c>
      <c r="AN12" s="106">
        <f t="shared" si="36"/>
        <v>0</v>
      </c>
      <c r="AO12" s="106">
        <f t="shared" si="36"/>
        <v>0</v>
      </c>
      <c r="AP12" s="106">
        <f t="shared" si="36"/>
        <v>0</v>
      </c>
      <c r="AQ12" s="106">
        <f t="shared" si="36"/>
        <v>0</v>
      </c>
      <c r="AR12" s="106">
        <f t="shared" si="36"/>
        <v>0</v>
      </c>
      <c r="AS12" s="106">
        <f t="shared" si="36"/>
        <v>0</v>
      </c>
      <c r="AT12" s="106">
        <f t="shared" si="36"/>
        <v>0</v>
      </c>
      <c r="AU12" s="106">
        <f t="shared" si="36"/>
        <v>0</v>
      </c>
      <c r="AV12" s="106">
        <f t="shared" si="36"/>
        <v>0</v>
      </c>
      <c r="AW12" s="106">
        <f t="shared" si="36"/>
        <v>0</v>
      </c>
      <c r="AX12" s="106">
        <f t="shared" si="36"/>
        <v>0</v>
      </c>
      <c r="AY12" s="105">
        <f t="shared" si="11"/>
        <v>0</v>
      </c>
      <c r="AZ12" s="107">
        <f t="shared" si="12"/>
        <v>0</v>
      </c>
      <c r="BA12" s="107">
        <f t="shared" si="13"/>
        <v>0</v>
      </c>
      <c r="BB12" s="107">
        <f t="shared" si="14"/>
        <v>0</v>
      </c>
      <c r="BC12" s="108">
        <f t="shared" ref="BC12:BR12" si="37">R12*BC$4</f>
        <v>0</v>
      </c>
      <c r="BD12" s="109">
        <f t="shared" si="37"/>
        <v>0</v>
      </c>
      <c r="BE12" s="109">
        <f t="shared" si="37"/>
        <v>0</v>
      </c>
      <c r="BF12" s="109">
        <f t="shared" si="37"/>
        <v>0</v>
      </c>
      <c r="BG12" s="109">
        <f t="shared" si="37"/>
        <v>0</v>
      </c>
      <c r="BH12" s="109">
        <f t="shared" si="37"/>
        <v>0</v>
      </c>
      <c r="BI12" s="109">
        <f t="shared" si="37"/>
        <v>0</v>
      </c>
      <c r="BJ12" s="109">
        <f t="shared" si="37"/>
        <v>0</v>
      </c>
      <c r="BK12" s="109">
        <f t="shared" si="37"/>
        <v>0</v>
      </c>
      <c r="BL12" s="109">
        <f t="shared" si="37"/>
        <v>0</v>
      </c>
      <c r="BM12" s="109">
        <f t="shared" si="37"/>
        <v>0</v>
      </c>
      <c r="BN12" s="109">
        <f t="shared" si="37"/>
        <v>0</v>
      </c>
      <c r="BO12" s="109">
        <f t="shared" si="37"/>
        <v>0</v>
      </c>
      <c r="BP12" s="109">
        <f t="shared" si="37"/>
        <v>0</v>
      </c>
      <c r="BQ12" s="109">
        <f t="shared" si="37"/>
        <v>0</v>
      </c>
      <c r="BR12" s="109">
        <f t="shared" si="37"/>
        <v>0</v>
      </c>
      <c r="BS12" s="110">
        <f t="shared" si="38"/>
        <v>0</v>
      </c>
      <c r="BT12" s="114"/>
    </row>
    <row r="13">
      <c r="A13" s="97"/>
      <c r="B13" s="115"/>
      <c r="C13" s="116"/>
      <c r="D13" s="98" t="str">
        <f t="shared" si="24"/>
        <v/>
      </c>
      <c r="E13" s="99" t="str">
        <f t="shared" ref="E13:I13" si="39">$B13</f>
        <v/>
      </c>
      <c r="F13" s="99" t="str">
        <f t="shared" si="39"/>
        <v/>
      </c>
      <c r="G13" s="99" t="str">
        <f t="shared" si="39"/>
        <v/>
      </c>
      <c r="H13" s="99" t="str">
        <f t="shared" si="39"/>
        <v/>
      </c>
      <c r="I13" s="99" t="str">
        <f t="shared" si="39"/>
        <v/>
      </c>
      <c r="J13" s="71"/>
      <c r="K13" s="71" t="str">
        <f t="shared" ref="K13:L13" si="40">B13</f>
        <v/>
      </c>
      <c r="L13" s="99" t="str">
        <f t="shared" si="40"/>
        <v/>
      </c>
      <c r="M13" s="99" t="str">
        <f t="shared" si="8"/>
        <v/>
      </c>
      <c r="N13" s="99" t="str">
        <f t="shared" si="31"/>
        <v/>
      </c>
      <c r="O13" s="99"/>
      <c r="P13" s="99"/>
      <c r="Q13" s="99"/>
      <c r="R13" s="102">
        <f>IFERROR(__xludf.DUMMYFUNCTION("(COUNTA(SPLIT(B13,"","",TRUE)) - NOT(LEN(B13)))"),0.0)</f>
        <v>0</v>
      </c>
      <c r="S13" s="103">
        <f>IFERROR(__xludf.DUMMYFUNCTION("(COUNTA(SPLIT(C13,"","",TRUE)) - NOT(LEN(C13)))"),0.0)</f>
        <v>0</v>
      </c>
      <c r="T13" s="103">
        <f>IFERROR(__xludf.DUMMYFUNCTION("(COUNTA(SPLIT(D13,"","",TRUE)) - NOT(LEN(D13)))"),0.0)</f>
        <v>0</v>
      </c>
      <c r="U13" s="103">
        <f>IFERROR(__xludf.DUMMYFUNCTION("(COUNTA(SPLIT(E13,"","",TRUE)) - NOT(LEN(E13)))"),0.0)</f>
        <v>0</v>
      </c>
      <c r="V13" s="103">
        <f>IFERROR(__xludf.DUMMYFUNCTION("(COUNTA(SPLIT(F13,"","",TRUE)) - NOT(LEN(F13)))"),0.0)</f>
        <v>0</v>
      </c>
      <c r="W13" s="103">
        <f>IFERROR(__xludf.DUMMYFUNCTION("(COUNTA(SPLIT(G13,"","",TRUE)) - NOT(LEN(G13)))"),0.0)</f>
        <v>0</v>
      </c>
      <c r="X13" s="103">
        <f>IFERROR(__xludf.DUMMYFUNCTION("(COUNTA(SPLIT(H13,"","",TRUE)) - NOT(LEN(H13)))"),0.0)</f>
        <v>0</v>
      </c>
      <c r="Y13" s="103">
        <f>IFERROR(__xludf.DUMMYFUNCTION("(COUNTA(SPLIT(I13,"","",TRUE)) - NOT(LEN(I13)))"),0.0)</f>
        <v>0</v>
      </c>
      <c r="Z13" s="103">
        <f>IFERROR(__xludf.DUMMYFUNCTION("(COUNTA(SPLIT(J13,"","",TRUE)) - NOT(LEN(J13)))"),0.0)</f>
        <v>0</v>
      </c>
      <c r="AA13" s="103">
        <f>IFERROR(__xludf.DUMMYFUNCTION("(COUNTA(SPLIT(K13,"","",TRUE)) - NOT(LEN(K13)))"),0.0)</f>
        <v>0</v>
      </c>
      <c r="AB13" s="103">
        <f>IFERROR(__xludf.DUMMYFUNCTION("(COUNTA(SPLIT(L13,"","",TRUE)) - NOT(LEN(L13)))"),0.0)</f>
        <v>0</v>
      </c>
      <c r="AC13" s="103">
        <f>IFERROR(__xludf.DUMMYFUNCTION("(COUNTA(SPLIT(M13,"","",TRUE)) - NOT(LEN(M13)))"),0.0)</f>
        <v>0</v>
      </c>
      <c r="AD13" s="103">
        <f>IFERROR(__xludf.DUMMYFUNCTION("(COUNTA(SPLIT(N13,"","",TRUE)) - NOT(LEN(N13)))"),0.0)</f>
        <v>0</v>
      </c>
      <c r="AE13" s="103">
        <f>IFERROR(__xludf.DUMMYFUNCTION("(COUNTA(SPLIT(O13,"","",TRUE)) - NOT(LEN(O13)))"),0.0)</f>
        <v>0</v>
      </c>
      <c r="AF13" s="103">
        <f>IFERROR(__xludf.DUMMYFUNCTION("(COUNTA(SPLIT(P13,"","",TRUE)) - NOT(LEN(P13)))"),0.0)</f>
        <v>0</v>
      </c>
      <c r="AG13" s="103">
        <f>IFERROR(__xludf.DUMMYFUNCTION("(COUNTA(SPLIT(Q13,"","",TRUE)) - NOT(LEN(Q13)))"),0.0)</f>
        <v>0</v>
      </c>
      <c r="AH13" s="104">
        <f t="shared" si="9"/>
        <v>0</v>
      </c>
      <c r="AI13" s="105">
        <f t="shared" ref="AI13:AX13" si="41">R13*AI$4</f>
        <v>0</v>
      </c>
      <c r="AJ13" s="106">
        <f t="shared" si="41"/>
        <v>0</v>
      </c>
      <c r="AK13" s="106">
        <f t="shared" si="41"/>
        <v>0</v>
      </c>
      <c r="AL13" s="106">
        <f t="shared" si="41"/>
        <v>0</v>
      </c>
      <c r="AM13" s="106">
        <f t="shared" si="41"/>
        <v>0</v>
      </c>
      <c r="AN13" s="106">
        <f t="shared" si="41"/>
        <v>0</v>
      </c>
      <c r="AO13" s="106">
        <f t="shared" si="41"/>
        <v>0</v>
      </c>
      <c r="AP13" s="106">
        <f t="shared" si="41"/>
        <v>0</v>
      </c>
      <c r="AQ13" s="106">
        <f t="shared" si="41"/>
        <v>0</v>
      </c>
      <c r="AR13" s="106">
        <f t="shared" si="41"/>
        <v>0</v>
      </c>
      <c r="AS13" s="106">
        <f t="shared" si="41"/>
        <v>0</v>
      </c>
      <c r="AT13" s="106">
        <f t="shared" si="41"/>
        <v>0</v>
      </c>
      <c r="AU13" s="106">
        <f t="shared" si="41"/>
        <v>0</v>
      </c>
      <c r="AV13" s="106">
        <f t="shared" si="41"/>
        <v>0</v>
      </c>
      <c r="AW13" s="106">
        <f t="shared" si="41"/>
        <v>0</v>
      </c>
      <c r="AX13" s="106">
        <f t="shared" si="41"/>
        <v>0</v>
      </c>
      <c r="AY13" s="105">
        <f t="shared" si="11"/>
        <v>0</v>
      </c>
      <c r="AZ13" s="107">
        <f t="shared" si="12"/>
        <v>0</v>
      </c>
      <c r="BA13" s="107">
        <f t="shared" si="13"/>
        <v>0</v>
      </c>
      <c r="BB13" s="107">
        <f t="shared" si="14"/>
        <v>0</v>
      </c>
      <c r="BC13" s="108">
        <f t="shared" ref="BC13:BR13" si="42">R13*BC$4</f>
        <v>0</v>
      </c>
      <c r="BD13" s="109">
        <f t="shared" si="42"/>
        <v>0</v>
      </c>
      <c r="BE13" s="109">
        <f t="shared" si="42"/>
        <v>0</v>
      </c>
      <c r="BF13" s="109">
        <f t="shared" si="42"/>
        <v>0</v>
      </c>
      <c r="BG13" s="109">
        <f t="shared" si="42"/>
        <v>0</v>
      </c>
      <c r="BH13" s="109">
        <f t="shared" si="42"/>
        <v>0</v>
      </c>
      <c r="BI13" s="109">
        <f t="shared" si="42"/>
        <v>0</v>
      </c>
      <c r="BJ13" s="109">
        <f t="shared" si="42"/>
        <v>0</v>
      </c>
      <c r="BK13" s="109">
        <f t="shared" si="42"/>
        <v>0</v>
      </c>
      <c r="BL13" s="109">
        <f t="shared" si="42"/>
        <v>0</v>
      </c>
      <c r="BM13" s="109">
        <f t="shared" si="42"/>
        <v>0</v>
      </c>
      <c r="BN13" s="109">
        <f t="shared" si="42"/>
        <v>0</v>
      </c>
      <c r="BO13" s="109">
        <f t="shared" si="42"/>
        <v>0</v>
      </c>
      <c r="BP13" s="109">
        <f t="shared" si="42"/>
        <v>0</v>
      </c>
      <c r="BQ13" s="109">
        <f t="shared" si="42"/>
        <v>0</v>
      </c>
      <c r="BR13" s="109">
        <f t="shared" si="42"/>
        <v>0</v>
      </c>
      <c r="BS13" s="110">
        <f t="shared" si="38"/>
        <v>0</v>
      </c>
      <c r="BT13" s="114"/>
    </row>
    <row r="14">
      <c r="A14" s="97"/>
      <c r="B14" s="97"/>
      <c r="C14" s="97"/>
      <c r="D14" s="98" t="str">
        <f t="shared" si="24"/>
        <v/>
      </c>
      <c r="E14" s="99" t="str">
        <f t="shared" ref="E14:I14" si="43">$B14</f>
        <v/>
      </c>
      <c r="F14" s="99" t="str">
        <f t="shared" si="43"/>
        <v/>
      </c>
      <c r="G14" s="99" t="str">
        <f t="shared" si="43"/>
        <v/>
      </c>
      <c r="H14" s="99" t="str">
        <f t="shared" si="43"/>
        <v/>
      </c>
      <c r="I14" s="99" t="str">
        <f t="shared" si="43"/>
        <v/>
      </c>
      <c r="J14" s="71"/>
      <c r="K14" s="71" t="str">
        <f t="shared" ref="K14:L14" si="44">B14</f>
        <v/>
      </c>
      <c r="L14" s="99" t="str">
        <f t="shared" si="44"/>
        <v/>
      </c>
      <c r="M14" s="99" t="str">
        <f t="shared" si="8"/>
        <v/>
      </c>
      <c r="N14" s="99" t="str">
        <f t="shared" si="31"/>
        <v/>
      </c>
      <c r="O14" s="99"/>
      <c r="P14" s="99"/>
      <c r="Q14" s="99"/>
      <c r="R14" s="102">
        <f>IFERROR(__xludf.DUMMYFUNCTION("(COUNTA(SPLIT(B14,"","",TRUE)) - NOT(LEN(B14)))"),0.0)</f>
        <v>0</v>
      </c>
      <c r="S14" s="103">
        <f>IFERROR(__xludf.DUMMYFUNCTION("(COUNTA(SPLIT(C14,"","",TRUE)) - NOT(LEN(C14)))"),0.0)</f>
        <v>0</v>
      </c>
      <c r="T14" s="103">
        <f>IFERROR(__xludf.DUMMYFUNCTION("(COUNTA(SPLIT(D14,"","",TRUE)) - NOT(LEN(D14)))"),0.0)</f>
        <v>0</v>
      </c>
      <c r="U14" s="103">
        <f>IFERROR(__xludf.DUMMYFUNCTION("(COUNTA(SPLIT(E14,"","",TRUE)) - NOT(LEN(E14)))"),0.0)</f>
        <v>0</v>
      </c>
      <c r="V14" s="103">
        <f>IFERROR(__xludf.DUMMYFUNCTION("(COUNTA(SPLIT(F14,"","",TRUE)) - NOT(LEN(F14)))"),0.0)</f>
        <v>0</v>
      </c>
      <c r="W14" s="103">
        <f>IFERROR(__xludf.DUMMYFUNCTION("(COUNTA(SPLIT(G14,"","",TRUE)) - NOT(LEN(G14)))"),0.0)</f>
        <v>0</v>
      </c>
      <c r="X14" s="103">
        <f>IFERROR(__xludf.DUMMYFUNCTION("(COUNTA(SPLIT(H14,"","",TRUE)) - NOT(LEN(H14)))"),0.0)</f>
        <v>0</v>
      </c>
      <c r="Y14" s="103">
        <f>IFERROR(__xludf.DUMMYFUNCTION("(COUNTA(SPLIT(I14,"","",TRUE)) - NOT(LEN(I14)))"),0.0)</f>
        <v>0</v>
      </c>
      <c r="Z14" s="103">
        <f>IFERROR(__xludf.DUMMYFUNCTION("(COUNTA(SPLIT(J14,"","",TRUE)) - NOT(LEN(J14)))"),0.0)</f>
        <v>0</v>
      </c>
      <c r="AA14" s="103">
        <f>IFERROR(__xludf.DUMMYFUNCTION("(COUNTA(SPLIT(K14,"","",TRUE)) - NOT(LEN(K14)))"),0.0)</f>
        <v>0</v>
      </c>
      <c r="AB14" s="103">
        <f>IFERROR(__xludf.DUMMYFUNCTION("(COUNTA(SPLIT(L14,"","",TRUE)) - NOT(LEN(L14)))"),0.0)</f>
        <v>0</v>
      </c>
      <c r="AC14" s="103">
        <f>IFERROR(__xludf.DUMMYFUNCTION("(COUNTA(SPLIT(M14,"","",TRUE)) - NOT(LEN(M14)))"),0.0)</f>
        <v>0</v>
      </c>
      <c r="AD14" s="103">
        <f>IFERROR(__xludf.DUMMYFUNCTION("(COUNTA(SPLIT(N14,"","",TRUE)) - NOT(LEN(N14)))"),0.0)</f>
        <v>0</v>
      </c>
      <c r="AE14" s="103">
        <f>IFERROR(__xludf.DUMMYFUNCTION("(COUNTA(SPLIT(O14,"","",TRUE)) - NOT(LEN(O14)))"),0.0)</f>
        <v>0</v>
      </c>
      <c r="AF14" s="103">
        <f>IFERROR(__xludf.DUMMYFUNCTION("(COUNTA(SPLIT(P14,"","",TRUE)) - NOT(LEN(P14)))"),0.0)</f>
        <v>0</v>
      </c>
      <c r="AG14" s="103">
        <f>IFERROR(__xludf.DUMMYFUNCTION("(COUNTA(SPLIT(Q14,"","",TRUE)) - NOT(LEN(Q14)))"),0.0)</f>
        <v>0</v>
      </c>
      <c r="AH14" s="104">
        <f t="shared" si="9"/>
        <v>0</v>
      </c>
      <c r="AI14" s="105">
        <f t="shared" ref="AI14:AX14" si="45">R14*AI$4</f>
        <v>0</v>
      </c>
      <c r="AJ14" s="106">
        <f t="shared" si="45"/>
        <v>0</v>
      </c>
      <c r="AK14" s="106">
        <f t="shared" si="45"/>
        <v>0</v>
      </c>
      <c r="AL14" s="106">
        <f t="shared" si="45"/>
        <v>0</v>
      </c>
      <c r="AM14" s="106">
        <f t="shared" si="45"/>
        <v>0</v>
      </c>
      <c r="AN14" s="106">
        <f t="shared" si="45"/>
        <v>0</v>
      </c>
      <c r="AO14" s="106">
        <f t="shared" si="45"/>
        <v>0</v>
      </c>
      <c r="AP14" s="106">
        <f t="shared" si="45"/>
        <v>0</v>
      </c>
      <c r="AQ14" s="106">
        <f t="shared" si="45"/>
        <v>0</v>
      </c>
      <c r="AR14" s="106">
        <f t="shared" si="45"/>
        <v>0</v>
      </c>
      <c r="AS14" s="106">
        <f t="shared" si="45"/>
        <v>0</v>
      </c>
      <c r="AT14" s="106">
        <f t="shared" si="45"/>
        <v>0</v>
      </c>
      <c r="AU14" s="106">
        <f t="shared" si="45"/>
        <v>0</v>
      </c>
      <c r="AV14" s="106">
        <f t="shared" si="45"/>
        <v>0</v>
      </c>
      <c r="AW14" s="106">
        <f t="shared" si="45"/>
        <v>0</v>
      </c>
      <c r="AX14" s="106">
        <f t="shared" si="45"/>
        <v>0</v>
      </c>
      <c r="AY14" s="105">
        <f t="shared" si="11"/>
        <v>0</v>
      </c>
      <c r="AZ14" s="107">
        <f t="shared" si="12"/>
        <v>0</v>
      </c>
      <c r="BA14" s="107">
        <f t="shared" si="13"/>
        <v>0</v>
      </c>
      <c r="BB14" s="107">
        <f t="shared" si="14"/>
        <v>0</v>
      </c>
      <c r="BC14" s="108">
        <f t="shared" ref="BC14:BR14" si="46">R14*BC$4</f>
        <v>0</v>
      </c>
      <c r="BD14" s="109">
        <f t="shared" si="46"/>
        <v>0</v>
      </c>
      <c r="BE14" s="109">
        <f t="shared" si="46"/>
        <v>0</v>
      </c>
      <c r="BF14" s="109">
        <f t="shared" si="46"/>
        <v>0</v>
      </c>
      <c r="BG14" s="109">
        <f t="shared" si="46"/>
        <v>0</v>
      </c>
      <c r="BH14" s="109">
        <f t="shared" si="46"/>
        <v>0</v>
      </c>
      <c r="BI14" s="109">
        <f t="shared" si="46"/>
        <v>0</v>
      </c>
      <c r="BJ14" s="109">
        <f t="shared" si="46"/>
        <v>0</v>
      </c>
      <c r="BK14" s="109">
        <f t="shared" si="46"/>
        <v>0</v>
      </c>
      <c r="BL14" s="109">
        <f t="shared" si="46"/>
        <v>0</v>
      </c>
      <c r="BM14" s="109">
        <f t="shared" si="46"/>
        <v>0</v>
      </c>
      <c r="BN14" s="109">
        <f t="shared" si="46"/>
        <v>0</v>
      </c>
      <c r="BO14" s="109">
        <f t="shared" si="46"/>
        <v>0</v>
      </c>
      <c r="BP14" s="109">
        <f t="shared" si="46"/>
        <v>0</v>
      </c>
      <c r="BQ14" s="109">
        <f t="shared" si="46"/>
        <v>0</v>
      </c>
      <c r="BR14" s="109">
        <f t="shared" si="46"/>
        <v>0</v>
      </c>
      <c r="BS14" s="110">
        <f t="shared" si="38"/>
        <v>0</v>
      </c>
      <c r="BT14" s="114"/>
    </row>
    <row r="15">
      <c r="A15" s="97"/>
      <c r="B15" s="97"/>
      <c r="C15" s="97"/>
      <c r="D15" s="98" t="str">
        <f t="shared" si="24"/>
        <v/>
      </c>
      <c r="E15" s="99" t="str">
        <f t="shared" ref="E15:I15" si="47">$B15</f>
        <v/>
      </c>
      <c r="F15" s="99" t="str">
        <f t="shared" si="47"/>
        <v/>
      </c>
      <c r="G15" s="99" t="str">
        <f t="shared" si="47"/>
        <v/>
      </c>
      <c r="H15" s="99" t="str">
        <f t="shared" si="47"/>
        <v/>
      </c>
      <c r="I15" s="99" t="str">
        <f t="shared" si="47"/>
        <v/>
      </c>
      <c r="J15" s="71"/>
      <c r="K15" s="71" t="str">
        <f t="shared" ref="K15:L15" si="48">B15</f>
        <v/>
      </c>
      <c r="L15" s="99" t="str">
        <f t="shared" si="48"/>
        <v/>
      </c>
      <c r="M15" s="99" t="str">
        <f t="shared" si="8"/>
        <v/>
      </c>
      <c r="N15" s="99" t="str">
        <f t="shared" si="31"/>
        <v/>
      </c>
      <c r="O15" s="99"/>
      <c r="P15" s="99"/>
      <c r="Q15" s="99"/>
      <c r="R15" s="102">
        <f>IFERROR(__xludf.DUMMYFUNCTION("(COUNTA(SPLIT(B15,"","",TRUE)) - NOT(LEN(B15)))"),0.0)</f>
        <v>0</v>
      </c>
      <c r="S15" s="103">
        <f>IFERROR(__xludf.DUMMYFUNCTION("(COUNTA(SPLIT(C15,"","",TRUE)) - NOT(LEN(C15)))"),0.0)</f>
        <v>0</v>
      </c>
      <c r="T15" s="103">
        <f>IFERROR(__xludf.DUMMYFUNCTION("(COUNTA(SPLIT(D15,"","",TRUE)) - NOT(LEN(D15)))"),0.0)</f>
        <v>0</v>
      </c>
      <c r="U15" s="103">
        <f>IFERROR(__xludf.DUMMYFUNCTION("(COUNTA(SPLIT(E15,"","",TRUE)) - NOT(LEN(E15)))"),0.0)</f>
        <v>0</v>
      </c>
      <c r="V15" s="103">
        <f>IFERROR(__xludf.DUMMYFUNCTION("(COUNTA(SPLIT(F15,"","",TRUE)) - NOT(LEN(F15)))"),0.0)</f>
        <v>0</v>
      </c>
      <c r="W15" s="103">
        <f>IFERROR(__xludf.DUMMYFUNCTION("(COUNTA(SPLIT(G15,"","",TRUE)) - NOT(LEN(G15)))"),0.0)</f>
        <v>0</v>
      </c>
      <c r="X15" s="103">
        <f>IFERROR(__xludf.DUMMYFUNCTION("(COUNTA(SPLIT(H15,"","",TRUE)) - NOT(LEN(H15)))"),0.0)</f>
        <v>0</v>
      </c>
      <c r="Y15" s="103">
        <f>IFERROR(__xludf.DUMMYFUNCTION("(COUNTA(SPLIT(I15,"","",TRUE)) - NOT(LEN(I15)))"),0.0)</f>
        <v>0</v>
      </c>
      <c r="Z15" s="103">
        <f>IFERROR(__xludf.DUMMYFUNCTION("(COUNTA(SPLIT(J15,"","",TRUE)) - NOT(LEN(J15)))"),0.0)</f>
        <v>0</v>
      </c>
      <c r="AA15" s="103">
        <f>IFERROR(__xludf.DUMMYFUNCTION("(COUNTA(SPLIT(K15,"","",TRUE)) - NOT(LEN(K15)))"),0.0)</f>
        <v>0</v>
      </c>
      <c r="AB15" s="103">
        <f>IFERROR(__xludf.DUMMYFUNCTION("(COUNTA(SPLIT(L15,"","",TRUE)) - NOT(LEN(L15)))"),0.0)</f>
        <v>0</v>
      </c>
      <c r="AC15" s="103">
        <f>IFERROR(__xludf.DUMMYFUNCTION("(COUNTA(SPLIT(M15,"","",TRUE)) - NOT(LEN(M15)))"),0.0)</f>
        <v>0</v>
      </c>
      <c r="AD15" s="103">
        <f>IFERROR(__xludf.DUMMYFUNCTION("(COUNTA(SPLIT(N15,"","",TRUE)) - NOT(LEN(N15)))"),0.0)</f>
        <v>0</v>
      </c>
      <c r="AE15" s="103">
        <f>IFERROR(__xludf.DUMMYFUNCTION("(COUNTA(SPLIT(O15,"","",TRUE)) - NOT(LEN(O15)))"),0.0)</f>
        <v>0</v>
      </c>
      <c r="AF15" s="103">
        <f>IFERROR(__xludf.DUMMYFUNCTION("(COUNTA(SPLIT(P15,"","",TRUE)) - NOT(LEN(P15)))"),0.0)</f>
        <v>0</v>
      </c>
      <c r="AG15" s="103">
        <f>IFERROR(__xludf.DUMMYFUNCTION("(COUNTA(SPLIT(Q15,"","",TRUE)) - NOT(LEN(Q15)))"),0.0)</f>
        <v>0</v>
      </c>
      <c r="AH15" s="104">
        <f t="shared" si="9"/>
        <v>0</v>
      </c>
      <c r="AI15" s="105">
        <f t="shared" ref="AI15:AX15" si="49">R15*AI$4</f>
        <v>0</v>
      </c>
      <c r="AJ15" s="106">
        <f t="shared" si="49"/>
        <v>0</v>
      </c>
      <c r="AK15" s="106">
        <f t="shared" si="49"/>
        <v>0</v>
      </c>
      <c r="AL15" s="106">
        <f t="shared" si="49"/>
        <v>0</v>
      </c>
      <c r="AM15" s="106">
        <f t="shared" si="49"/>
        <v>0</v>
      </c>
      <c r="AN15" s="106">
        <f t="shared" si="49"/>
        <v>0</v>
      </c>
      <c r="AO15" s="106">
        <f t="shared" si="49"/>
        <v>0</v>
      </c>
      <c r="AP15" s="106">
        <f t="shared" si="49"/>
        <v>0</v>
      </c>
      <c r="AQ15" s="106">
        <f t="shared" si="49"/>
        <v>0</v>
      </c>
      <c r="AR15" s="106">
        <f t="shared" si="49"/>
        <v>0</v>
      </c>
      <c r="AS15" s="106">
        <f t="shared" si="49"/>
        <v>0</v>
      </c>
      <c r="AT15" s="106">
        <f t="shared" si="49"/>
        <v>0</v>
      </c>
      <c r="AU15" s="106">
        <f t="shared" si="49"/>
        <v>0</v>
      </c>
      <c r="AV15" s="106">
        <f t="shared" si="49"/>
        <v>0</v>
      </c>
      <c r="AW15" s="106">
        <f t="shared" si="49"/>
        <v>0</v>
      </c>
      <c r="AX15" s="106">
        <f t="shared" si="49"/>
        <v>0</v>
      </c>
      <c r="AY15" s="105">
        <f t="shared" si="11"/>
        <v>0</v>
      </c>
      <c r="AZ15" s="107">
        <f t="shared" si="12"/>
        <v>0</v>
      </c>
      <c r="BA15" s="107">
        <f t="shared" si="13"/>
        <v>0</v>
      </c>
      <c r="BB15" s="107">
        <f t="shared" si="14"/>
        <v>0</v>
      </c>
      <c r="BC15" s="108">
        <f t="shared" ref="BC15:BR15" si="50">R15*BC$4</f>
        <v>0</v>
      </c>
      <c r="BD15" s="109">
        <f t="shared" si="50"/>
        <v>0</v>
      </c>
      <c r="BE15" s="109">
        <f t="shared" si="50"/>
        <v>0</v>
      </c>
      <c r="BF15" s="109">
        <f t="shared" si="50"/>
        <v>0</v>
      </c>
      <c r="BG15" s="109">
        <f t="shared" si="50"/>
        <v>0</v>
      </c>
      <c r="BH15" s="109">
        <f t="shared" si="50"/>
        <v>0</v>
      </c>
      <c r="BI15" s="109">
        <f t="shared" si="50"/>
        <v>0</v>
      </c>
      <c r="BJ15" s="109">
        <f t="shared" si="50"/>
        <v>0</v>
      </c>
      <c r="BK15" s="109">
        <f t="shared" si="50"/>
        <v>0</v>
      </c>
      <c r="BL15" s="109">
        <f t="shared" si="50"/>
        <v>0</v>
      </c>
      <c r="BM15" s="109">
        <f t="shared" si="50"/>
        <v>0</v>
      </c>
      <c r="BN15" s="109">
        <f t="shared" si="50"/>
        <v>0</v>
      </c>
      <c r="BO15" s="109">
        <f t="shared" si="50"/>
        <v>0</v>
      </c>
      <c r="BP15" s="109">
        <f t="shared" si="50"/>
        <v>0</v>
      </c>
      <c r="BQ15" s="109">
        <f t="shared" si="50"/>
        <v>0</v>
      </c>
      <c r="BR15" s="109">
        <f t="shared" si="50"/>
        <v>0</v>
      </c>
      <c r="BS15" s="110">
        <f t="shared" si="38"/>
        <v>0</v>
      </c>
      <c r="BT15" s="114"/>
    </row>
    <row r="16">
      <c r="A16" s="97"/>
      <c r="B16" s="97"/>
      <c r="C16" s="97"/>
      <c r="D16" s="98" t="str">
        <f t="shared" si="24"/>
        <v/>
      </c>
      <c r="E16" s="99" t="str">
        <f t="shared" ref="E16:I16" si="51">$B16</f>
        <v/>
      </c>
      <c r="F16" s="99" t="str">
        <f t="shared" si="51"/>
        <v/>
      </c>
      <c r="G16" s="99" t="str">
        <f t="shared" si="51"/>
        <v/>
      </c>
      <c r="H16" s="99" t="str">
        <f t="shared" si="51"/>
        <v/>
      </c>
      <c r="I16" s="99" t="str">
        <f t="shared" si="51"/>
        <v/>
      </c>
      <c r="J16" s="71"/>
      <c r="K16" s="71" t="str">
        <f t="shared" ref="K16:L16" si="52">B16</f>
        <v/>
      </c>
      <c r="L16" s="99" t="str">
        <f t="shared" si="52"/>
        <v/>
      </c>
      <c r="M16" s="99" t="str">
        <f t="shared" si="8"/>
        <v/>
      </c>
      <c r="N16" s="99" t="str">
        <f t="shared" si="31"/>
        <v/>
      </c>
      <c r="O16" s="99"/>
      <c r="P16" s="99"/>
      <c r="Q16" s="99"/>
      <c r="R16" s="102">
        <f>IFERROR(__xludf.DUMMYFUNCTION("(COUNTA(SPLIT(B16,"","",TRUE)) - NOT(LEN(B16)))"),0.0)</f>
        <v>0</v>
      </c>
      <c r="S16" s="103">
        <f>IFERROR(__xludf.DUMMYFUNCTION("(COUNTA(SPLIT(C16,"","",TRUE)) - NOT(LEN(C16)))"),0.0)</f>
        <v>0</v>
      </c>
      <c r="T16" s="103">
        <f>IFERROR(__xludf.DUMMYFUNCTION("(COUNTA(SPLIT(D16,"","",TRUE)) - NOT(LEN(D16)))"),0.0)</f>
        <v>0</v>
      </c>
      <c r="U16" s="103">
        <f>IFERROR(__xludf.DUMMYFUNCTION("(COUNTA(SPLIT(E16,"","",TRUE)) - NOT(LEN(E16)))"),0.0)</f>
        <v>0</v>
      </c>
      <c r="V16" s="103">
        <f>IFERROR(__xludf.DUMMYFUNCTION("(COUNTA(SPLIT(F16,"","",TRUE)) - NOT(LEN(F16)))"),0.0)</f>
        <v>0</v>
      </c>
      <c r="W16" s="103">
        <f>IFERROR(__xludf.DUMMYFUNCTION("(COUNTA(SPLIT(G16,"","",TRUE)) - NOT(LEN(G16)))"),0.0)</f>
        <v>0</v>
      </c>
      <c r="X16" s="103">
        <f>IFERROR(__xludf.DUMMYFUNCTION("(COUNTA(SPLIT(H16,"","",TRUE)) - NOT(LEN(H16)))"),0.0)</f>
        <v>0</v>
      </c>
      <c r="Y16" s="103">
        <f>IFERROR(__xludf.DUMMYFUNCTION("(COUNTA(SPLIT(I16,"","",TRUE)) - NOT(LEN(I16)))"),0.0)</f>
        <v>0</v>
      </c>
      <c r="Z16" s="103">
        <f>IFERROR(__xludf.DUMMYFUNCTION("(COUNTA(SPLIT(J16,"","",TRUE)) - NOT(LEN(J16)))"),0.0)</f>
        <v>0</v>
      </c>
      <c r="AA16" s="103">
        <f>IFERROR(__xludf.DUMMYFUNCTION("(COUNTA(SPLIT(K16,"","",TRUE)) - NOT(LEN(K16)))"),0.0)</f>
        <v>0</v>
      </c>
      <c r="AB16" s="103">
        <f>IFERROR(__xludf.DUMMYFUNCTION("(COUNTA(SPLIT(L16,"","",TRUE)) - NOT(LEN(L16)))"),0.0)</f>
        <v>0</v>
      </c>
      <c r="AC16" s="103">
        <f>IFERROR(__xludf.DUMMYFUNCTION("(COUNTA(SPLIT(M16,"","",TRUE)) - NOT(LEN(M16)))"),0.0)</f>
        <v>0</v>
      </c>
      <c r="AD16" s="103">
        <f>IFERROR(__xludf.DUMMYFUNCTION("(COUNTA(SPLIT(N16,"","",TRUE)) - NOT(LEN(N16)))"),0.0)</f>
        <v>0</v>
      </c>
      <c r="AE16" s="103">
        <f>IFERROR(__xludf.DUMMYFUNCTION("(COUNTA(SPLIT(O16,"","",TRUE)) - NOT(LEN(O16)))"),0.0)</f>
        <v>0</v>
      </c>
      <c r="AF16" s="103">
        <f>IFERROR(__xludf.DUMMYFUNCTION("(COUNTA(SPLIT(P16,"","",TRUE)) - NOT(LEN(P16)))"),0.0)</f>
        <v>0</v>
      </c>
      <c r="AG16" s="103">
        <f>IFERROR(__xludf.DUMMYFUNCTION("(COUNTA(SPLIT(Q16,"","",TRUE)) - NOT(LEN(Q16)))"),0.0)</f>
        <v>0</v>
      </c>
      <c r="AH16" s="104">
        <f t="shared" si="9"/>
        <v>0</v>
      </c>
      <c r="AI16" s="105">
        <f t="shared" ref="AI16:AX16" si="53">R16*AI$4</f>
        <v>0</v>
      </c>
      <c r="AJ16" s="106">
        <f t="shared" si="53"/>
        <v>0</v>
      </c>
      <c r="AK16" s="106">
        <f t="shared" si="53"/>
        <v>0</v>
      </c>
      <c r="AL16" s="106">
        <f t="shared" si="53"/>
        <v>0</v>
      </c>
      <c r="AM16" s="106">
        <f t="shared" si="53"/>
        <v>0</v>
      </c>
      <c r="AN16" s="106">
        <f t="shared" si="53"/>
        <v>0</v>
      </c>
      <c r="AO16" s="106">
        <f t="shared" si="53"/>
        <v>0</v>
      </c>
      <c r="AP16" s="106">
        <f t="shared" si="53"/>
        <v>0</v>
      </c>
      <c r="AQ16" s="106">
        <f t="shared" si="53"/>
        <v>0</v>
      </c>
      <c r="AR16" s="106">
        <f t="shared" si="53"/>
        <v>0</v>
      </c>
      <c r="AS16" s="106">
        <f t="shared" si="53"/>
        <v>0</v>
      </c>
      <c r="AT16" s="106">
        <f t="shared" si="53"/>
        <v>0</v>
      </c>
      <c r="AU16" s="106">
        <f t="shared" si="53"/>
        <v>0</v>
      </c>
      <c r="AV16" s="106">
        <f t="shared" si="53"/>
        <v>0</v>
      </c>
      <c r="AW16" s="106">
        <f t="shared" si="53"/>
        <v>0</v>
      </c>
      <c r="AX16" s="106">
        <f t="shared" si="53"/>
        <v>0</v>
      </c>
      <c r="AY16" s="105">
        <f t="shared" si="11"/>
        <v>0</v>
      </c>
      <c r="AZ16" s="107">
        <f t="shared" si="12"/>
        <v>0</v>
      </c>
      <c r="BA16" s="107">
        <f t="shared" si="13"/>
        <v>0</v>
      </c>
      <c r="BB16" s="107">
        <f t="shared" si="14"/>
        <v>0</v>
      </c>
      <c r="BC16" s="108">
        <f t="shared" ref="BC16:BR16" si="54">R16*BC$4</f>
        <v>0</v>
      </c>
      <c r="BD16" s="109">
        <f t="shared" si="54"/>
        <v>0</v>
      </c>
      <c r="BE16" s="109">
        <f t="shared" si="54"/>
        <v>0</v>
      </c>
      <c r="BF16" s="109">
        <f t="shared" si="54"/>
        <v>0</v>
      </c>
      <c r="BG16" s="109">
        <f t="shared" si="54"/>
        <v>0</v>
      </c>
      <c r="BH16" s="109">
        <f t="shared" si="54"/>
        <v>0</v>
      </c>
      <c r="BI16" s="109">
        <f t="shared" si="54"/>
        <v>0</v>
      </c>
      <c r="BJ16" s="109">
        <f t="shared" si="54"/>
        <v>0</v>
      </c>
      <c r="BK16" s="109">
        <f t="shared" si="54"/>
        <v>0</v>
      </c>
      <c r="BL16" s="109">
        <f t="shared" si="54"/>
        <v>0</v>
      </c>
      <c r="BM16" s="109">
        <f t="shared" si="54"/>
        <v>0</v>
      </c>
      <c r="BN16" s="109">
        <f t="shared" si="54"/>
        <v>0</v>
      </c>
      <c r="BO16" s="109">
        <f t="shared" si="54"/>
        <v>0</v>
      </c>
      <c r="BP16" s="109">
        <f t="shared" si="54"/>
        <v>0</v>
      </c>
      <c r="BQ16" s="109">
        <f t="shared" si="54"/>
        <v>0</v>
      </c>
      <c r="BR16" s="109">
        <f t="shared" si="54"/>
        <v>0</v>
      </c>
      <c r="BS16" s="110">
        <f t="shared" si="38"/>
        <v>0</v>
      </c>
      <c r="BT16" s="114"/>
    </row>
    <row r="17">
      <c r="A17" s="97"/>
      <c r="B17" s="97"/>
      <c r="C17" s="97"/>
      <c r="D17" s="98" t="str">
        <f t="shared" si="24"/>
        <v/>
      </c>
      <c r="E17" s="99" t="str">
        <f t="shared" ref="E17:I17" si="55">$B17</f>
        <v/>
      </c>
      <c r="F17" s="99" t="str">
        <f t="shared" si="55"/>
        <v/>
      </c>
      <c r="G17" s="99" t="str">
        <f t="shared" si="55"/>
        <v/>
      </c>
      <c r="H17" s="99" t="str">
        <f t="shared" si="55"/>
        <v/>
      </c>
      <c r="I17" s="99" t="str">
        <f t="shared" si="55"/>
        <v/>
      </c>
      <c r="J17" s="71"/>
      <c r="K17" s="71" t="str">
        <f t="shared" ref="K17:L17" si="56">B17</f>
        <v/>
      </c>
      <c r="L17" s="99" t="str">
        <f t="shared" si="56"/>
        <v/>
      </c>
      <c r="M17" s="99" t="str">
        <f t="shared" si="8"/>
        <v/>
      </c>
      <c r="N17" s="99" t="str">
        <f t="shared" si="31"/>
        <v/>
      </c>
      <c r="O17" s="99"/>
      <c r="P17" s="99"/>
      <c r="Q17" s="99"/>
      <c r="R17" s="102">
        <f>IFERROR(__xludf.DUMMYFUNCTION("(COUNTA(SPLIT(B17,"","",TRUE)) - NOT(LEN(B17)))"),0.0)</f>
        <v>0</v>
      </c>
      <c r="S17" s="103">
        <f>IFERROR(__xludf.DUMMYFUNCTION("(COUNTA(SPLIT(C17,"","",TRUE)) - NOT(LEN(C17)))"),0.0)</f>
        <v>0</v>
      </c>
      <c r="T17" s="103">
        <f>IFERROR(__xludf.DUMMYFUNCTION("(COUNTA(SPLIT(D17,"","",TRUE)) - NOT(LEN(D17)))"),0.0)</f>
        <v>0</v>
      </c>
      <c r="U17" s="103">
        <f>IFERROR(__xludf.DUMMYFUNCTION("(COUNTA(SPLIT(E17,"","",TRUE)) - NOT(LEN(E17)))"),0.0)</f>
        <v>0</v>
      </c>
      <c r="V17" s="103">
        <f>IFERROR(__xludf.DUMMYFUNCTION("(COUNTA(SPLIT(F17,"","",TRUE)) - NOT(LEN(F17)))"),0.0)</f>
        <v>0</v>
      </c>
      <c r="W17" s="103">
        <f>IFERROR(__xludf.DUMMYFUNCTION("(COUNTA(SPLIT(G17,"","",TRUE)) - NOT(LEN(G17)))"),0.0)</f>
        <v>0</v>
      </c>
      <c r="X17" s="103">
        <f>IFERROR(__xludf.DUMMYFUNCTION("(COUNTA(SPLIT(H17,"","",TRUE)) - NOT(LEN(H17)))"),0.0)</f>
        <v>0</v>
      </c>
      <c r="Y17" s="103">
        <f>IFERROR(__xludf.DUMMYFUNCTION("(COUNTA(SPLIT(I17,"","",TRUE)) - NOT(LEN(I17)))"),0.0)</f>
        <v>0</v>
      </c>
      <c r="Z17" s="103">
        <f>IFERROR(__xludf.DUMMYFUNCTION("(COUNTA(SPLIT(J17,"","",TRUE)) - NOT(LEN(J17)))"),0.0)</f>
        <v>0</v>
      </c>
      <c r="AA17" s="103">
        <f>IFERROR(__xludf.DUMMYFUNCTION("(COUNTA(SPLIT(K17,"","",TRUE)) - NOT(LEN(K17)))"),0.0)</f>
        <v>0</v>
      </c>
      <c r="AB17" s="103">
        <f>IFERROR(__xludf.DUMMYFUNCTION("(COUNTA(SPLIT(L17,"","",TRUE)) - NOT(LEN(L17)))"),0.0)</f>
        <v>0</v>
      </c>
      <c r="AC17" s="103">
        <f>IFERROR(__xludf.DUMMYFUNCTION("(COUNTA(SPLIT(M17,"","",TRUE)) - NOT(LEN(M17)))"),0.0)</f>
        <v>0</v>
      </c>
      <c r="AD17" s="103">
        <f>IFERROR(__xludf.DUMMYFUNCTION("(COUNTA(SPLIT(N17,"","",TRUE)) - NOT(LEN(N17)))"),0.0)</f>
        <v>0</v>
      </c>
      <c r="AE17" s="103">
        <f>IFERROR(__xludf.DUMMYFUNCTION("(COUNTA(SPLIT(O17,"","",TRUE)) - NOT(LEN(O17)))"),0.0)</f>
        <v>0</v>
      </c>
      <c r="AF17" s="103">
        <f>IFERROR(__xludf.DUMMYFUNCTION("(COUNTA(SPLIT(P17,"","",TRUE)) - NOT(LEN(P17)))"),0.0)</f>
        <v>0</v>
      </c>
      <c r="AG17" s="103">
        <f>IFERROR(__xludf.DUMMYFUNCTION("(COUNTA(SPLIT(Q17,"","",TRUE)) - NOT(LEN(Q17)))"),0.0)</f>
        <v>0</v>
      </c>
      <c r="AH17" s="104">
        <f t="shared" si="9"/>
        <v>0</v>
      </c>
      <c r="AI17" s="105">
        <f t="shared" ref="AI17:AX17" si="57">R17*AI$4</f>
        <v>0</v>
      </c>
      <c r="AJ17" s="106">
        <f t="shared" si="57"/>
        <v>0</v>
      </c>
      <c r="AK17" s="106">
        <f t="shared" si="57"/>
        <v>0</v>
      </c>
      <c r="AL17" s="106">
        <f t="shared" si="57"/>
        <v>0</v>
      </c>
      <c r="AM17" s="106">
        <f t="shared" si="57"/>
        <v>0</v>
      </c>
      <c r="AN17" s="106">
        <f t="shared" si="57"/>
        <v>0</v>
      </c>
      <c r="AO17" s="106">
        <f t="shared" si="57"/>
        <v>0</v>
      </c>
      <c r="AP17" s="106">
        <f t="shared" si="57"/>
        <v>0</v>
      </c>
      <c r="AQ17" s="106">
        <f t="shared" si="57"/>
        <v>0</v>
      </c>
      <c r="AR17" s="106">
        <f t="shared" si="57"/>
        <v>0</v>
      </c>
      <c r="AS17" s="106">
        <f t="shared" si="57"/>
        <v>0</v>
      </c>
      <c r="AT17" s="106">
        <f t="shared" si="57"/>
        <v>0</v>
      </c>
      <c r="AU17" s="106">
        <f t="shared" si="57"/>
        <v>0</v>
      </c>
      <c r="AV17" s="106">
        <f t="shared" si="57"/>
        <v>0</v>
      </c>
      <c r="AW17" s="106">
        <f t="shared" si="57"/>
        <v>0</v>
      </c>
      <c r="AX17" s="106">
        <f t="shared" si="57"/>
        <v>0</v>
      </c>
      <c r="AY17" s="105">
        <f t="shared" si="11"/>
        <v>0</v>
      </c>
      <c r="AZ17" s="107">
        <f t="shared" si="12"/>
        <v>0</v>
      </c>
      <c r="BA17" s="107">
        <f t="shared" si="13"/>
        <v>0</v>
      </c>
      <c r="BB17" s="107">
        <f t="shared" si="14"/>
        <v>0</v>
      </c>
      <c r="BC17" s="108">
        <f t="shared" ref="BC17:BR17" si="58">R17*BC$4</f>
        <v>0</v>
      </c>
      <c r="BD17" s="109">
        <f t="shared" si="58"/>
        <v>0</v>
      </c>
      <c r="BE17" s="109">
        <f t="shared" si="58"/>
        <v>0</v>
      </c>
      <c r="BF17" s="109">
        <f t="shared" si="58"/>
        <v>0</v>
      </c>
      <c r="BG17" s="109">
        <f t="shared" si="58"/>
        <v>0</v>
      </c>
      <c r="BH17" s="109">
        <f t="shared" si="58"/>
        <v>0</v>
      </c>
      <c r="BI17" s="109">
        <f t="shared" si="58"/>
        <v>0</v>
      </c>
      <c r="BJ17" s="109">
        <f t="shared" si="58"/>
        <v>0</v>
      </c>
      <c r="BK17" s="109">
        <f t="shared" si="58"/>
        <v>0</v>
      </c>
      <c r="BL17" s="109">
        <f t="shared" si="58"/>
        <v>0</v>
      </c>
      <c r="BM17" s="109">
        <f t="shared" si="58"/>
        <v>0</v>
      </c>
      <c r="BN17" s="109">
        <f t="shared" si="58"/>
        <v>0</v>
      </c>
      <c r="BO17" s="109">
        <f t="shared" si="58"/>
        <v>0</v>
      </c>
      <c r="BP17" s="109">
        <f t="shared" si="58"/>
        <v>0</v>
      </c>
      <c r="BQ17" s="109">
        <f t="shared" si="58"/>
        <v>0</v>
      </c>
      <c r="BR17" s="109">
        <f t="shared" si="58"/>
        <v>0</v>
      </c>
      <c r="BS17" s="110">
        <f t="shared" si="38"/>
        <v>0</v>
      </c>
      <c r="BT17" s="114"/>
    </row>
    <row r="18">
      <c r="A18" s="97"/>
      <c r="B18" s="97"/>
      <c r="C18" s="97"/>
      <c r="D18" s="98" t="str">
        <f t="shared" si="24"/>
        <v/>
      </c>
      <c r="E18" s="99" t="str">
        <f t="shared" ref="E18:I18" si="59">$B18</f>
        <v/>
      </c>
      <c r="F18" s="99" t="str">
        <f t="shared" si="59"/>
        <v/>
      </c>
      <c r="G18" s="99" t="str">
        <f t="shared" si="59"/>
        <v/>
      </c>
      <c r="H18" s="99" t="str">
        <f t="shared" si="59"/>
        <v/>
      </c>
      <c r="I18" s="99" t="str">
        <f t="shared" si="59"/>
        <v/>
      </c>
      <c r="J18" s="71"/>
      <c r="K18" s="71" t="str">
        <f t="shared" ref="K18:L18" si="60">B18</f>
        <v/>
      </c>
      <c r="L18" s="99" t="str">
        <f t="shared" si="60"/>
        <v/>
      </c>
      <c r="M18" s="99" t="str">
        <f t="shared" si="8"/>
        <v/>
      </c>
      <c r="N18" s="99" t="str">
        <f t="shared" si="31"/>
        <v/>
      </c>
      <c r="O18" s="99"/>
      <c r="P18" s="99"/>
      <c r="Q18" s="99"/>
      <c r="R18" s="102">
        <f>IFERROR(__xludf.DUMMYFUNCTION("(COUNTA(SPLIT(B18,"","",TRUE)) - NOT(LEN(B18)))"),0.0)</f>
        <v>0</v>
      </c>
      <c r="S18" s="103">
        <f>IFERROR(__xludf.DUMMYFUNCTION("(COUNTA(SPLIT(C18,"","",TRUE)) - NOT(LEN(C18)))"),0.0)</f>
        <v>0</v>
      </c>
      <c r="T18" s="103">
        <f>IFERROR(__xludf.DUMMYFUNCTION("(COUNTA(SPLIT(D18,"","",TRUE)) - NOT(LEN(D18)))"),0.0)</f>
        <v>0</v>
      </c>
      <c r="U18" s="103">
        <f>IFERROR(__xludf.DUMMYFUNCTION("(COUNTA(SPLIT(E18,"","",TRUE)) - NOT(LEN(E18)))"),0.0)</f>
        <v>0</v>
      </c>
      <c r="V18" s="103">
        <f>IFERROR(__xludf.DUMMYFUNCTION("(COUNTA(SPLIT(F18,"","",TRUE)) - NOT(LEN(F18)))"),0.0)</f>
        <v>0</v>
      </c>
      <c r="W18" s="103">
        <f>IFERROR(__xludf.DUMMYFUNCTION("(COUNTA(SPLIT(G18,"","",TRUE)) - NOT(LEN(G18)))"),0.0)</f>
        <v>0</v>
      </c>
      <c r="X18" s="103">
        <f>IFERROR(__xludf.DUMMYFUNCTION("(COUNTA(SPLIT(H18,"","",TRUE)) - NOT(LEN(H18)))"),0.0)</f>
        <v>0</v>
      </c>
      <c r="Y18" s="103">
        <f>IFERROR(__xludf.DUMMYFUNCTION("(COUNTA(SPLIT(I18,"","",TRUE)) - NOT(LEN(I18)))"),0.0)</f>
        <v>0</v>
      </c>
      <c r="Z18" s="103">
        <f>IFERROR(__xludf.DUMMYFUNCTION("(COUNTA(SPLIT(J18,"","",TRUE)) - NOT(LEN(J18)))"),0.0)</f>
        <v>0</v>
      </c>
      <c r="AA18" s="103">
        <f>IFERROR(__xludf.DUMMYFUNCTION("(COUNTA(SPLIT(K18,"","",TRUE)) - NOT(LEN(K18)))"),0.0)</f>
        <v>0</v>
      </c>
      <c r="AB18" s="103">
        <f>IFERROR(__xludf.DUMMYFUNCTION("(COUNTA(SPLIT(L18,"","",TRUE)) - NOT(LEN(L18)))"),0.0)</f>
        <v>0</v>
      </c>
      <c r="AC18" s="103">
        <f>IFERROR(__xludf.DUMMYFUNCTION("(COUNTA(SPLIT(M18,"","",TRUE)) - NOT(LEN(M18)))"),0.0)</f>
        <v>0</v>
      </c>
      <c r="AD18" s="103">
        <f>IFERROR(__xludf.DUMMYFUNCTION("(COUNTA(SPLIT(N18,"","",TRUE)) - NOT(LEN(N18)))"),0.0)</f>
        <v>0</v>
      </c>
      <c r="AE18" s="103">
        <f>IFERROR(__xludf.DUMMYFUNCTION("(COUNTA(SPLIT(O18,"","",TRUE)) - NOT(LEN(O18)))"),0.0)</f>
        <v>0</v>
      </c>
      <c r="AF18" s="103">
        <f>IFERROR(__xludf.DUMMYFUNCTION("(COUNTA(SPLIT(P18,"","",TRUE)) - NOT(LEN(P18)))"),0.0)</f>
        <v>0</v>
      </c>
      <c r="AG18" s="103">
        <f>IFERROR(__xludf.DUMMYFUNCTION("(COUNTA(SPLIT(Q18,"","",TRUE)) - NOT(LEN(Q18)))"),0.0)</f>
        <v>0</v>
      </c>
      <c r="AH18" s="104">
        <f t="shared" si="9"/>
        <v>0</v>
      </c>
      <c r="AI18" s="105">
        <f t="shared" ref="AI18:AX18" si="61">R18*AI$4</f>
        <v>0</v>
      </c>
      <c r="AJ18" s="106">
        <f t="shared" si="61"/>
        <v>0</v>
      </c>
      <c r="AK18" s="106">
        <f t="shared" si="61"/>
        <v>0</v>
      </c>
      <c r="AL18" s="106">
        <f t="shared" si="61"/>
        <v>0</v>
      </c>
      <c r="AM18" s="106">
        <f t="shared" si="61"/>
        <v>0</v>
      </c>
      <c r="AN18" s="106">
        <f t="shared" si="61"/>
        <v>0</v>
      </c>
      <c r="AO18" s="106">
        <f t="shared" si="61"/>
        <v>0</v>
      </c>
      <c r="AP18" s="106">
        <f t="shared" si="61"/>
        <v>0</v>
      </c>
      <c r="AQ18" s="106">
        <f t="shared" si="61"/>
        <v>0</v>
      </c>
      <c r="AR18" s="106">
        <f t="shared" si="61"/>
        <v>0</v>
      </c>
      <c r="AS18" s="106">
        <f t="shared" si="61"/>
        <v>0</v>
      </c>
      <c r="AT18" s="106">
        <f t="shared" si="61"/>
        <v>0</v>
      </c>
      <c r="AU18" s="106">
        <f t="shared" si="61"/>
        <v>0</v>
      </c>
      <c r="AV18" s="106">
        <f t="shared" si="61"/>
        <v>0</v>
      </c>
      <c r="AW18" s="106">
        <f t="shared" si="61"/>
        <v>0</v>
      </c>
      <c r="AX18" s="106">
        <f t="shared" si="61"/>
        <v>0</v>
      </c>
      <c r="AY18" s="105">
        <f t="shared" si="11"/>
        <v>0</v>
      </c>
      <c r="AZ18" s="107">
        <f t="shared" si="12"/>
        <v>0</v>
      </c>
      <c r="BA18" s="107">
        <f t="shared" si="13"/>
        <v>0</v>
      </c>
      <c r="BB18" s="107">
        <f t="shared" si="14"/>
        <v>0</v>
      </c>
      <c r="BC18" s="108">
        <f t="shared" ref="BC18:BR18" si="62">R18*BC$4</f>
        <v>0</v>
      </c>
      <c r="BD18" s="109">
        <f t="shared" si="62"/>
        <v>0</v>
      </c>
      <c r="BE18" s="109">
        <f t="shared" si="62"/>
        <v>0</v>
      </c>
      <c r="BF18" s="109">
        <f t="shared" si="62"/>
        <v>0</v>
      </c>
      <c r="BG18" s="109">
        <f t="shared" si="62"/>
        <v>0</v>
      </c>
      <c r="BH18" s="109">
        <f t="shared" si="62"/>
        <v>0</v>
      </c>
      <c r="BI18" s="109">
        <f t="shared" si="62"/>
        <v>0</v>
      </c>
      <c r="BJ18" s="109">
        <f t="shared" si="62"/>
        <v>0</v>
      </c>
      <c r="BK18" s="109">
        <f t="shared" si="62"/>
        <v>0</v>
      </c>
      <c r="BL18" s="109">
        <f t="shared" si="62"/>
        <v>0</v>
      </c>
      <c r="BM18" s="109">
        <f t="shared" si="62"/>
        <v>0</v>
      </c>
      <c r="BN18" s="109">
        <f t="shared" si="62"/>
        <v>0</v>
      </c>
      <c r="BO18" s="109">
        <f t="shared" si="62"/>
        <v>0</v>
      </c>
      <c r="BP18" s="109">
        <f t="shared" si="62"/>
        <v>0</v>
      </c>
      <c r="BQ18" s="109">
        <f t="shared" si="62"/>
        <v>0</v>
      </c>
      <c r="BR18" s="109">
        <f t="shared" si="62"/>
        <v>0</v>
      </c>
      <c r="BS18" s="110">
        <f t="shared" si="38"/>
        <v>0</v>
      </c>
      <c r="BT18" s="114"/>
    </row>
    <row r="19">
      <c r="A19" s="97"/>
      <c r="B19" s="97"/>
      <c r="C19" s="97"/>
      <c r="D19" s="98" t="str">
        <f t="shared" si="24"/>
        <v/>
      </c>
      <c r="E19" s="99" t="str">
        <f t="shared" ref="E19:I19" si="63">$B19</f>
        <v/>
      </c>
      <c r="F19" s="99" t="str">
        <f t="shared" si="63"/>
        <v/>
      </c>
      <c r="G19" s="99" t="str">
        <f t="shared" si="63"/>
        <v/>
      </c>
      <c r="H19" s="99" t="str">
        <f t="shared" si="63"/>
        <v/>
      </c>
      <c r="I19" s="99" t="str">
        <f t="shared" si="63"/>
        <v/>
      </c>
      <c r="J19" s="71"/>
      <c r="K19" s="71" t="str">
        <f t="shared" ref="K19:L19" si="64">B19</f>
        <v/>
      </c>
      <c r="L19" s="99" t="str">
        <f t="shared" si="64"/>
        <v/>
      </c>
      <c r="M19" s="99" t="str">
        <f t="shared" si="8"/>
        <v/>
      </c>
      <c r="N19" s="99" t="str">
        <f t="shared" si="31"/>
        <v/>
      </c>
      <c r="O19" s="99"/>
      <c r="P19" s="99"/>
      <c r="Q19" s="99"/>
      <c r="R19" s="102">
        <f>IFERROR(__xludf.DUMMYFUNCTION("(COUNTA(SPLIT(B19,"","",TRUE)) - NOT(LEN(B19)))"),0.0)</f>
        <v>0</v>
      </c>
      <c r="S19" s="103">
        <f>IFERROR(__xludf.DUMMYFUNCTION("(COUNTA(SPLIT(C19,"","",TRUE)) - NOT(LEN(C19)))"),0.0)</f>
        <v>0</v>
      </c>
      <c r="T19" s="103">
        <f>IFERROR(__xludf.DUMMYFUNCTION("(COUNTA(SPLIT(D19,"","",TRUE)) - NOT(LEN(D19)))"),0.0)</f>
        <v>0</v>
      </c>
      <c r="U19" s="103">
        <f>IFERROR(__xludf.DUMMYFUNCTION("(COUNTA(SPLIT(E19,"","",TRUE)) - NOT(LEN(E19)))"),0.0)</f>
        <v>0</v>
      </c>
      <c r="V19" s="103">
        <f>IFERROR(__xludf.DUMMYFUNCTION("(COUNTA(SPLIT(F19,"","",TRUE)) - NOT(LEN(F19)))"),0.0)</f>
        <v>0</v>
      </c>
      <c r="W19" s="103">
        <f>IFERROR(__xludf.DUMMYFUNCTION("(COUNTA(SPLIT(G19,"","",TRUE)) - NOT(LEN(G19)))"),0.0)</f>
        <v>0</v>
      </c>
      <c r="X19" s="103">
        <f>IFERROR(__xludf.DUMMYFUNCTION("(COUNTA(SPLIT(H19,"","",TRUE)) - NOT(LEN(H19)))"),0.0)</f>
        <v>0</v>
      </c>
      <c r="Y19" s="103">
        <f>IFERROR(__xludf.DUMMYFUNCTION("(COUNTA(SPLIT(I19,"","",TRUE)) - NOT(LEN(I19)))"),0.0)</f>
        <v>0</v>
      </c>
      <c r="Z19" s="103">
        <f>IFERROR(__xludf.DUMMYFUNCTION("(COUNTA(SPLIT(J19,"","",TRUE)) - NOT(LEN(J19)))"),0.0)</f>
        <v>0</v>
      </c>
      <c r="AA19" s="103">
        <f>IFERROR(__xludf.DUMMYFUNCTION("(COUNTA(SPLIT(K19,"","",TRUE)) - NOT(LEN(K19)))"),0.0)</f>
        <v>0</v>
      </c>
      <c r="AB19" s="103">
        <f>IFERROR(__xludf.DUMMYFUNCTION("(COUNTA(SPLIT(L19,"","",TRUE)) - NOT(LEN(L19)))"),0.0)</f>
        <v>0</v>
      </c>
      <c r="AC19" s="103">
        <f>IFERROR(__xludf.DUMMYFUNCTION("(COUNTA(SPLIT(M19,"","",TRUE)) - NOT(LEN(M19)))"),0.0)</f>
        <v>0</v>
      </c>
      <c r="AD19" s="103">
        <f>IFERROR(__xludf.DUMMYFUNCTION("(COUNTA(SPLIT(N19,"","",TRUE)) - NOT(LEN(N19)))"),0.0)</f>
        <v>0</v>
      </c>
      <c r="AE19" s="103">
        <f>IFERROR(__xludf.DUMMYFUNCTION("(COUNTA(SPLIT(O19,"","",TRUE)) - NOT(LEN(O19)))"),0.0)</f>
        <v>0</v>
      </c>
      <c r="AF19" s="103">
        <f>IFERROR(__xludf.DUMMYFUNCTION("(COUNTA(SPLIT(P19,"","",TRUE)) - NOT(LEN(P19)))"),0.0)</f>
        <v>0</v>
      </c>
      <c r="AG19" s="103">
        <f>IFERROR(__xludf.DUMMYFUNCTION("(COUNTA(SPLIT(Q19,"","",TRUE)) - NOT(LEN(Q19)))"),0.0)</f>
        <v>0</v>
      </c>
      <c r="AH19" s="104">
        <f t="shared" si="9"/>
        <v>0</v>
      </c>
      <c r="AI19" s="105">
        <f t="shared" ref="AI19:AX19" si="65">R19*AI$4</f>
        <v>0</v>
      </c>
      <c r="AJ19" s="106">
        <f t="shared" si="65"/>
        <v>0</v>
      </c>
      <c r="AK19" s="106">
        <f t="shared" si="65"/>
        <v>0</v>
      </c>
      <c r="AL19" s="106">
        <f t="shared" si="65"/>
        <v>0</v>
      </c>
      <c r="AM19" s="106">
        <f t="shared" si="65"/>
        <v>0</v>
      </c>
      <c r="AN19" s="106">
        <f t="shared" si="65"/>
        <v>0</v>
      </c>
      <c r="AO19" s="106">
        <f t="shared" si="65"/>
        <v>0</v>
      </c>
      <c r="AP19" s="106">
        <f t="shared" si="65"/>
        <v>0</v>
      </c>
      <c r="AQ19" s="106">
        <f t="shared" si="65"/>
        <v>0</v>
      </c>
      <c r="AR19" s="106">
        <f t="shared" si="65"/>
        <v>0</v>
      </c>
      <c r="AS19" s="106">
        <f t="shared" si="65"/>
        <v>0</v>
      </c>
      <c r="AT19" s="106">
        <f t="shared" si="65"/>
        <v>0</v>
      </c>
      <c r="AU19" s="106">
        <f t="shared" si="65"/>
        <v>0</v>
      </c>
      <c r="AV19" s="106">
        <f t="shared" si="65"/>
        <v>0</v>
      </c>
      <c r="AW19" s="106">
        <f t="shared" si="65"/>
        <v>0</v>
      </c>
      <c r="AX19" s="106">
        <f t="shared" si="65"/>
        <v>0</v>
      </c>
      <c r="AY19" s="105">
        <f t="shared" si="11"/>
        <v>0</v>
      </c>
      <c r="AZ19" s="107">
        <f t="shared" si="12"/>
        <v>0</v>
      </c>
      <c r="BA19" s="107">
        <f t="shared" si="13"/>
        <v>0</v>
      </c>
      <c r="BB19" s="107">
        <f t="shared" si="14"/>
        <v>0</v>
      </c>
      <c r="BC19" s="108">
        <f t="shared" ref="BC19:BR19" si="66">R19*BC$4</f>
        <v>0</v>
      </c>
      <c r="BD19" s="109">
        <f t="shared" si="66"/>
        <v>0</v>
      </c>
      <c r="BE19" s="109">
        <f t="shared" si="66"/>
        <v>0</v>
      </c>
      <c r="BF19" s="109">
        <f t="shared" si="66"/>
        <v>0</v>
      </c>
      <c r="BG19" s="109">
        <f t="shared" si="66"/>
        <v>0</v>
      </c>
      <c r="BH19" s="109">
        <f t="shared" si="66"/>
        <v>0</v>
      </c>
      <c r="BI19" s="109">
        <f t="shared" si="66"/>
        <v>0</v>
      </c>
      <c r="BJ19" s="109">
        <f t="shared" si="66"/>
        <v>0</v>
      </c>
      <c r="BK19" s="109">
        <f t="shared" si="66"/>
        <v>0</v>
      </c>
      <c r="BL19" s="109">
        <f t="shared" si="66"/>
        <v>0</v>
      </c>
      <c r="BM19" s="109">
        <f t="shared" si="66"/>
        <v>0</v>
      </c>
      <c r="BN19" s="109">
        <f t="shared" si="66"/>
        <v>0</v>
      </c>
      <c r="BO19" s="109">
        <f t="shared" si="66"/>
        <v>0</v>
      </c>
      <c r="BP19" s="109">
        <f t="shared" si="66"/>
        <v>0</v>
      </c>
      <c r="BQ19" s="109">
        <f t="shared" si="66"/>
        <v>0</v>
      </c>
      <c r="BR19" s="109">
        <f t="shared" si="66"/>
        <v>0</v>
      </c>
      <c r="BS19" s="110">
        <f t="shared" si="38"/>
        <v>0</v>
      </c>
      <c r="BT19" s="114"/>
    </row>
    <row r="20">
      <c r="A20" s="97"/>
      <c r="B20" s="97"/>
      <c r="C20" s="97"/>
      <c r="D20" s="98" t="str">
        <f t="shared" si="24"/>
        <v/>
      </c>
      <c r="E20" s="99" t="str">
        <f t="shared" ref="E20:I20" si="67">$B20</f>
        <v/>
      </c>
      <c r="F20" s="99" t="str">
        <f t="shared" si="67"/>
        <v/>
      </c>
      <c r="G20" s="99" t="str">
        <f t="shared" si="67"/>
        <v/>
      </c>
      <c r="H20" s="99" t="str">
        <f t="shared" si="67"/>
        <v/>
      </c>
      <c r="I20" s="99" t="str">
        <f t="shared" si="67"/>
        <v/>
      </c>
      <c r="J20" s="71"/>
      <c r="K20" s="71" t="str">
        <f t="shared" ref="K20:L20" si="68">B20</f>
        <v/>
      </c>
      <c r="L20" s="99" t="str">
        <f t="shared" si="68"/>
        <v/>
      </c>
      <c r="M20" s="99" t="str">
        <f t="shared" si="8"/>
        <v/>
      </c>
      <c r="N20" s="99" t="str">
        <f t="shared" si="31"/>
        <v/>
      </c>
      <c r="O20" s="99"/>
      <c r="P20" s="99"/>
      <c r="Q20" s="99"/>
      <c r="R20" s="102">
        <f>IFERROR(__xludf.DUMMYFUNCTION("(COUNTA(SPLIT(B20,"","",TRUE)) - NOT(LEN(B20)))"),0.0)</f>
        <v>0</v>
      </c>
      <c r="S20" s="103">
        <f>IFERROR(__xludf.DUMMYFUNCTION("(COUNTA(SPLIT(C20,"","",TRUE)) - NOT(LEN(C20)))"),0.0)</f>
        <v>0</v>
      </c>
      <c r="T20" s="103">
        <f>IFERROR(__xludf.DUMMYFUNCTION("(COUNTA(SPLIT(D20,"","",TRUE)) - NOT(LEN(D20)))"),0.0)</f>
        <v>0</v>
      </c>
      <c r="U20" s="103">
        <f>IFERROR(__xludf.DUMMYFUNCTION("(COUNTA(SPLIT(E20,"","",TRUE)) - NOT(LEN(E20)))"),0.0)</f>
        <v>0</v>
      </c>
      <c r="V20" s="103">
        <f>IFERROR(__xludf.DUMMYFUNCTION("(COUNTA(SPLIT(F20,"","",TRUE)) - NOT(LEN(F20)))"),0.0)</f>
        <v>0</v>
      </c>
      <c r="W20" s="103">
        <f>IFERROR(__xludf.DUMMYFUNCTION("(COUNTA(SPLIT(G20,"","",TRUE)) - NOT(LEN(G20)))"),0.0)</f>
        <v>0</v>
      </c>
      <c r="X20" s="103">
        <f>IFERROR(__xludf.DUMMYFUNCTION("(COUNTA(SPLIT(H20,"","",TRUE)) - NOT(LEN(H20)))"),0.0)</f>
        <v>0</v>
      </c>
      <c r="Y20" s="103">
        <f>IFERROR(__xludf.DUMMYFUNCTION("(COUNTA(SPLIT(I20,"","",TRUE)) - NOT(LEN(I20)))"),0.0)</f>
        <v>0</v>
      </c>
      <c r="Z20" s="103">
        <f>IFERROR(__xludf.DUMMYFUNCTION("(COUNTA(SPLIT(J20,"","",TRUE)) - NOT(LEN(J20)))"),0.0)</f>
        <v>0</v>
      </c>
      <c r="AA20" s="103">
        <f>IFERROR(__xludf.DUMMYFUNCTION("(COUNTA(SPLIT(K20,"","",TRUE)) - NOT(LEN(K20)))"),0.0)</f>
        <v>0</v>
      </c>
      <c r="AB20" s="103">
        <f>IFERROR(__xludf.DUMMYFUNCTION("(COUNTA(SPLIT(L20,"","",TRUE)) - NOT(LEN(L20)))"),0.0)</f>
        <v>0</v>
      </c>
      <c r="AC20" s="103">
        <f>IFERROR(__xludf.DUMMYFUNCTION("(COUNTA(SPLIT(M20,"","",TRUE)) - NOT(LEN(M20)))"),0.0)</f>
        <v>0</v>
      </c>
      <c r="AD20" s="103">
        <f>IFERROR(__xludf.DUMMYFUNCTION("(COUNTA(SPLIT(N20,"","",TRUE)) - NOT(LEN(N20)))"),0.0)</f>
        <v>0</v>
      </c>
      <c r="AE20" s="103">
        <f>IFERROR(__xludf.DUMMYFUNCTION("(COUNTA(SPLIT(O20,"","",TRUE)) - NOT(LEN(O20)))"),0.0)</f>
        <v>0</v>
      </c>
      <c r="AF20" s="103">
        <f>IFERROR(__xludf.DUMMYFUNCTION("(COUNTA(SPLIT(P20,"","",TRUE)) - NOT(LEN(P20)))"),0.0)</f>
        <v>0</v>
      </c>
      <c r="AG20" s="103">
        <f>IFERROR(__xludf.DUMMYFUNCTION("(COUNTA(SPLIT(Q20,"","",TRUE)) - NOT(LEN(Q20)))"),0.0)</f>
        <v>0</v>
      </c>
      <c r="AH20" s="104">
        <f t="shared" si="9"/>
        <v>0</v>
      </c>
      <c r="AI20" s="105">
        <f t="shared" ref="AI20:AX20" si="69">R20*AI$4</f>
        <v>0</v>
      </c>
      <c r="AJ20" s="106">
        <f t="shared" si="69"/>
        <v>0</v>
      </c>
      <c r="AK20" s="106">
        <f t="shared" si="69"/>
        <v>0</v>
      </c>
      <c r="AL20" s="106">
        <f t="shared" si="69"/>
        <v>0</v>
      </c>
      <c r="AM20" s="106">
        <f t="shared" si="69"/>
        <v>0</v>
      </c>
      <c r="AN20" s="106">
        <f t="shared" si="69"/>
        <v>0</v>
      </c>
      <c r="AO20" s="106">
        <f t="shared" si="69"/>
        <v>0</v>
      </c>
      <c r="AP20" s="106">
        <f t="shared" si="69"/>
        <v>0</v>
      </c>
      <c r="AQ20" s="106">
        <f t="shared" si="69"/>
        <v>0</v>
      </c>
      <c r="AR20" s="106">
        <f t="shared" si="69"/>
        <v>0</v>
      </c>
      <c r="AS20" s="106">
        <f t="shared" si="69"/>
        <v>0</v>
      </c>
      <c r="AT20" s="106">
        <f t="shared" si="69"/>
        <v>0</v>
      </c>
      <c r="AU20" s="106">
        <f t="shared" si="69"/>
        <v>0</v>
      </c>
      <c r="AV20" s="106">
        <f t="shared" si="69"/>
        <v>0</v>
      </c>
      <c r="AW20" s="106">
        <f t="shared" si="69"/>
        <v>0</v>
      </c>
      <c r="AX20" s="106">
        <f t="shared" si="69"/>
        <v>0</v>
      </c>
      <c r="AY20" s="105">
        <f t="shared" si="11"/>
        <v>0</v>
      </c>
      <c r="AZ20" s="107">
        <f t="shared" si="12"/>
        <v>0</v>
      </c>
      <c r="BA20" s="107">
        <f t="shared" si="13"/>
        <v>0</v>
      </c>
      <c r="BB20" s="107">
        <f t="shared" si="14"/>
        <v>0</v>
      </c>
      <c r="BC20" s="108">
        <f t="shared" ref="BC20:BR20" si="70">R20*BC$4</f>
        <v>0</v>
      </c>
      <c r="BD20" s="109">
        <f t="shared" si="70"/>
        <v>0</v>
      </c>
      <c r="BE20" s="109">
        <f t="shared" si="70"/>
        <v>0</v>
      </c>
      <c r="BF20" s="109">
        <f t="shared" si="70"/>
        <v>0</v>
      </c>
      <c r="BG20" s="109">
        <f t="shared" si="70"/>
        <v>0</v>
      </c>
      <c r="BH20" s="109">
        <f t="shared" si="70"/>
        <v>0</v>
      </c>
      <c r="BI20" s="109">
        <f t="shared" si="70"/>
        <v>0</v>
      </c>
      <c r="BJ20" s="109">
        <f t="shared" si="70"/>
        <v>0</v>
      </c>
      <c r="BK20" s="109">
        <f t="shared" si="70"/>
        <v>0</v>
      </c>
      <c r="BL20" s="109">
        <f t="shared" si="70"/>
        <v>0</v>
      </c>
      <c r="BM20" s="109">
        <f t="shared" si="70"/>
        <v>0</v>
      </c>
      <c r="BN20" s="109">
        <f t="shared" si="70"/>
        <v>0</v>
      </c>
      <c r="BO20" s="109">
        <f t="shared" si="70"/>
        <v>0</v>
      </c>
      <c r="BP20" s="109">
        <f t="shared" si="70"/>
        <v>0</v>
      </c>
      <c r="BQ20" s="109">
        <f t="shared" si="70"/>
        <v>0</v>
      </c>
      <c r="BR20" s="109">
        <f t="shared" si="70"/>
        <v>0</v>
      </c>
      <c r="BS20" s="110">
        <f t="shared" si="38"/>
        <v>0</v>
      </c>
      <c r="BT20" s="114"/>
    </row>
    <row r="21">
      <c r="A21" s="97"/>
      <c r="B21" s="97"/>
      <c r="C21" s="97"/>
      <c r="D21" s="98" t="str">
        <f t="shared" si="24"/>
        <v/>
      </c>
      <c r="E21" s="99" t="str">
        <f t="shared" ref="E21:I21" si="71">$B21</f>
        <v/>
      </c>
      <c r="F21" s="99" t="str">
        <f t="shared" si="71"/>
        <v/>
      </c>
      <c r="G21" s="99" t="str">
        <f t="shared" si="71"/>
        <v/>
      </c>
      <c r="H21" s="99" t="str">
        <f t="shared" si="71"/>
        <v/>
      </c>
      <c r="I21" s="99" t="str">
        <f t="shared" si="71"/>
        <v/>
      </c>
      <c r="J21" s="71"/>
      <c r="K21" s="71" t="str">
        <f t="shared" ref="K21:L21" si="72">B21</f>
        <v/>
      </c>
      <c r="L21" s="99" t="str">
        <f t="shared" si="72"/>
        <v/>
      </c>
      <c r="M21" s="99" t="str">
        <f t="shared" si="8"/>
        <v/>
      </c>
      <c r="N21" s="99" t="str">
        <f t="shared" si="31"/>
        <v/>
      </c>
      <c r="O21" s="99"/>
      <c r="P21" s="99"/>
      <c r="Q21" s="99"/>
      <c r="R21" s="102">
        <f>IFERROR(__xludf.DUMMYFUNCTION("(COUNTA(SPLIT(B21,"","",TRUE)) - NOT(LEN(B21)))"),0.0)</f>
        <v>0</v>
      </c>
      <c r="S21" s="103">
        <f>IFERROR(__xludf.DUMMYFUNCTION("(COUNTA(SPLIT(C21,"","",TRUE)) - NOT(LEN(C21)))"),0.0)</f>
        <v>0</v>
      </c>
      <c r="T21" s="103">
        <f>IFERROR(__xludf.DUMMYFUNCTION("(COUNTA(SPLIT(D21,"","",TRUE)) - NOT(LEN(D21)))"),0.0)</f>
        <v>0</v>
      </c>
      <c r="U21" s="103">
        <f>IFERROR(__xludf.DUMMYFUNCTION("(COUNTA(SPLIT(E21,"","",TRUE)) - NOT(LEN(E21)))"),0.0)</f>
        <v>0</v>
      </c>
      <c r="V21" s="103">
        <f>IFERROR(__xludf.DUMMYFUNCTION("(COUNTA(SPLIT(F21,"","",TRUE)) - NOT(LEN(F21)))"),0.0)</f>
        <v>0</v>
      </c>
      <c r="W21" s="103">
        <f>IFERROR(__xludf.DUMMYFUNCTION("(COUNTA(SPLIT(G21,"","",TRUE)) - NOT(LEN(G21)))"),0.0)</f>
        <v>0</v>
      </c>
      <c r="X21" s="103">
        <f>IFERROR(__xludf.DUMMYFUNCTION("(COUNTA(SPLIT(H21,"","",TRUE)) - NOT(LEN(H21)))"),0.0)</f>
        <v>0</v>
      </c>
      <c r="Y21" s="103">
        <f>IFERROR(__xludf.DUMMYFUNCTION("(COUNTA(SPLIT(I21,"","",TRUE)) - NOT(LEN(I21)))"),0.0)</f>
        <v>0</v>
      </c>
      <c r="Z21" s="103">
        <f>IFERROR(__xludf.DUMMYFUNCTION("(COUNTA(SPLIT(J21,"","",TRUE)) - NOT(LEN(J21)))"),0.0)</f>
        <v>0</v>
      </c>
      <c r="AA21" s="103">
        <f>IFERROR(__xludf.DUMMYFUNCTION("(COUNTA(SPLIT(K21,"","",TRUE)) - NOT(LEN(K21)))"),0.0)</f>
        <v>0</v>
      </c>
      <c r="AB21" s="103">
        <f>IFERROR(__xludf.DUMMYFUNCTION("(COUNTA(SPLIT(L21,"","",TRUE)) - NOT(LEN(L21)))"),0.0)</f>
        <v>0</v>
      </c>
      <c r="AC21" s="103">
        <f>IFERROR(__xludf.DUMMYFUNCTION("(COUNTA(SPLIT(M21,"","",TRUE)) - NOT(LEN(M21)))"),0.0)</f>
        <v>0</v>
      </c>
      <c r="AD21" s="103">
        <f>IFERROR(__xludf.DUMMYFUNCTION("(COUNTA(SPLIT(N21,"","",TRUE)) - NOT(LEN(N21)))"),0.0)</f>
        <v>0</v>
      </c>
      <c r="AE21" s="103">
        <f>IFERROR(__xludf.DUMMYFUNCTION("(COUNTA(SPLIT(O21,"","",TRUE)) - NOT(LEN(O21)))"),0.0)</f>
        <v>0</v>
      </c>
      <c r="AF21" s="103">
        <f>IFERROR(__xludf.DUMMYFUNCTION("(COUNTA(SPLIT(P21,"","",TRUE)) - NOT(LEN(P21)))"),0.0)</f>
        <v>0</v>
      </c>
      <c r="AG21" s="103">
        <f>IFERROR(__xludf.DUMMYFUNCTION("(COUNTA(SPLIT(Q21,"","",TRUE)) - NOT(LEN(Q21)))"),0.0)</f>
        <v>0</v>
      </c>
      <c r="AH21" s="104">
        <f t="shared" si="9"/>
        <v>0</v>
      </c>
      <c r="AI21" s="105">
        <f t="shared" ref="AI21:AX21" si="73">R21*AI$4</f>
        <v>0</v>
      </c>
      <c r="AJ21" s="106">
        <f t="shared" si="73"/>
        <v>0</v>
      </c>
      <c r="AK21" s="106">
        <f t="shared" si="73"/>
        <v>0</v>
      </c>
      <c r="AL21" s="106">
        <f t="shared" si="73"/>
        <v>0</v>
      </c>
      <c r="AM21" s="106">
        <f t="shared" si="73"/>
        <v>0</v>
      </c>
      <c r="AN21" s="106">
        <f t="shared" si="73"/>
        <v>0</v>
      </c>
      <c r="AO21" s="106">
        <f t="shared" si="73"/>
        <v>0</v>
      </c>
      <c r="AP21" s="106">
        <f t="shared" si="73"/>
        <v>0</v>
      </c>
      <c r="AQ21" s="106">
        <f t="shared" si="73"/>
        <v>0</v>
      </c>
      <c r="AR21" s="106">
        <f t="shared" si="73"/>
        <v>0</v>
      </c>
      <c r="AS21" s="106">
        <f t="shared" si="73"/>
        <v>0</v>
      </c>
      <c r="AT21" s="106">
        <f t="shared" si="73"/>
        <v>0</v>
      </c>
      <c r="AU21" s="106">
        <f t="shared" si="73"/>
        <v>0</v>
      </c>
      <c r="AV21" s="106">
        <f t="shared" si="73"/>
        <v>0</v>
      </c>
      <c r="AW21" s="106">
        <f t="shared" si="73"/>
        <v>0</v>
      </c>
      <c r="AX21" s="106">
        <f t="shared" si="73"/>
        <v>0</v>
      </c>
      <c r="AY21" s="105">
        <f t="shared" si="11"/>
        <v>0</v>
      </c>
      <c r="AZ21" s="107">
        <f t="shared" si="12"/>
        <v>0</v>
      </c>
      <c r="BA21" s="107">
        <f t="shared" si="13"/>
        <v>0</v>
      </c>
      <c r="BB21" s="107">
        <f t="shared" si="14"/>
        <v>0</v>
      </c>
      <c r="BC21" s="108">
        <f t="shared" ref="BC21:BR21" si="74">R21*BC$4</f>
        <v>0</v>
      </c>
      <c r="BD21" s="109">
        <f t="shared" si="74"/>
        <v>0</v>
      </c>
      <c r="BE21" s="109">
        <f t="shared" si="74"/>
        <v>0</v>
      </c>
      <c r="BF21" s="109">
        <f t="shared" si="74"/>
        <v>0</v>
      </c>
      <c r="BG21" s="109">
        <f t="shared" si="74"/>
        <v>0</v>
      </c>
      <c r="BH21" s="109">
        <f t="shared" si="74"/>
        <v>0</v>
      </c>
      <c r="BI21" s="109">
        <f t="shared" si="74"/>
        <v>0</v>
      </c>
      <c r="BJ21" s="109">
        <f t="shared" si="74"/>
        <v>0</v>
      </c>
      <c r="BK21" s="109">
        <f t="shared" si="74"/>
        <v>0</v>
      </c>
      <c r="BL21" s="109">
        <f t="shared" si="74"/>
        <v>0</v>
      </c>
      <c r="BM21" s="109">
        <f t="shared" si="74"/>
        <v>0</v>
      </c>
      <c r="BN21" s="109">
        <f t="shared" si="74"/>
        <v>0</v>
      </c>
      <c r="BO21" s="109">
        <f t="shared" si="74"/>
        <v>0</v>
      </c>
      <c r="BP21" s="109">
        <f t="shared" si="74"/>
        <v>0</v>
      </c>
      <c r="BQ21" s="109">
        <f t="shared" si="74"/>
        <v>0</v>
      </c>
      <c r="BR21" s="109">
        <f t="shared" si="74"/>
        <v>0</v>
      </c>
      <c r="BS21" s="110">
        <f t="shared" si="38"/>
        <v>0</v>
      </c>
      <c r="BT21" s="114"/>
    </row>
    <row r="22">
      <c r="A22" s="97"/>
      <c r="B22" s="97"/>
      <c r="C22" s="97"/>
      <c r="D22" s="98" t="str">
        <f t="shared" si="24"/>
        <v/>
      </c>
      <c r="E22" s="99" t="str">
        <f t="shared" ref="E22:I22" si="75">$B22</f>
        <v/>
      </c>
      <c r="F22" s="99" t="str">
        <f t="shared" si="75"/>
        <v/>
      </c>
      <c r="G22" s="99" t="str">
        <f t="shared" si="75"/>
        <v/>
      </c>
      <c r="H22" s="99" t="str">
        <f t="shared" si="75"/>
        <v/>
      </c>
      <c r="I22" s="99" t="str">
        <f t="shared" si="75"/>
        <v/>
      </c>
      <c r="J22" s="71"/>
      <c r="K22" s="71" t="str">
        <f t="shared" ref="K22:L22" si="76">B22</f>
        <v/>
      </c>
      <c r="L22" s="99" t="str">
        <f t="shared" si="76"/>
        <v/>
      </c>
      <c r="M22" s="99" t="str">
        <f t="shared" si="8"/>
        <v/>
      </c>
      <c r="N22" s="99" t="str">
        <f t="shared" si="31"/>
        <v/>
      </c>
      <c r="O22" s="99"/>
      <c r="P22" s="99"/>
      <c r="Q22" s="99"/>
      <c r="R22" s="102">
        <f>IFERROR(__xludf.DUMMYFUNCTION("(COUNTA(SPLIT(B22,"","",TRUE)) - NOT(LEN(B22)))"),0.0)</f>
        <v>0</v>
      </c>
      <c r="S22" s="103">
        <f>IFERROR(__xludf.DUMMYFUNCTION("(COUNTA(SPLIT(C22,"","",TRUE)) - NOT(LEN(C22)))"),0.0)</f>
        <v>0</v>
      </c>
      <c r="T22" s="103">
        <f>IFERROR(__xludf.DUMMYFUNCTION("(COUNTA(SPLIT(D22,"","",TRUE)) - NOT(LEN(D22)))"),0.0)</f>
        <v>0</v>
      </c>
      <c r="U22" s="103">
        <f>IFERROR(__xludf.DUMMYFUNCTION("(COUNTA(SPLIT(E22,"","",TRUE)) - NOT(LEN(E22)))"),0.0)</f>
        <v>0</v>
      </c>
      <c r="V22" s="103">
        <f>IFERROR(__xludf.DUMMYFUNCTION("(COUNTA(SPLIT(F22,"","",TRUE)) - NOT(LEN(F22)))"),0.0)</f>
        <v>0</v>
      </c>
      <c r="W22" s="103">
        <f>IFERROR(__xludf.DUMMYFUNCTION("(COUNTA(SPLIT(G22,"","",TRUE)) - NOT(LEN(G22)))"),0.0)</f>
        <v>0</v>
      </c>
      <c r="X22" s="103">
        <f>IFERROR(__xludf.DUMMYFUNCTION("(COUNTA(SPLIT(H22,"","",TRUE)) - NOT(LEN(H22)))"),0.0)</f>
        <v>0</v>
      </c>
      <c r="Y22" s="103">
        <f>IFERROR(__xludf.DUMMYFUNCTION("(COUNTA(SPLIT(I22,"","",TRUE)) - NOT(LEN(I22)))"),0.0)</f>
        <v>0</v>
      </c>
      <c r="Z22" s="103">
        <f>IFERROR(__xludf.DUMMYFUNCTION("(COUNTA(SPLIT(J22,"","",TRUE)) - NOT(LEN(J22)))"),0.0)</f>
        <v>0</v>
      </c>
      <c r="AA22" s="103">
        <f>IFERROR(__xludf.DUMMYFUNCTION("(COUNTA(SPLIT(K22,"","",TRUE)) - NOT(LEN(K22)))"),0.0)</f>
        <v>0</v>
      </c>
      <c r="AB22" s="103">
        <f>IFERROR(__xludf.DUMMYFUNCTION("(COUNTA(SPLIT(L22,"","",TRUE)) - NOT(LEN(L22)))"),0.0)</f>
        <v>0</v>
      </c>
      <c r="AC22" s="103">
        <f>IFERROR(__xludf.DUMMYFUNCTION("(COUNTA(SPLIT(M22,"","",TRUE)) - NOT(LEN(M22)))"),0.0)</f>
        <v>0</v>
      </c>
      <c r="AD22" s="103">
        <f>IFERROR(__xludf.DUMMYFUNCTION("(COUNTA(SPLIT(N22,"","",TRUE)) - NOT(LEN(N22)))"),0.0)</f>
        <v>0</v>
      </c>
      <c r="AE22" s="103">
        <f>IFERROR(__xludf.DUMMYFUNCTION("(COUNTA(SPLIT(O22,"","",TRUE)) - NOT(LEN(O22)))"),0.0)</f>
        <v>0</v>
      </c>
      <c r="AF22" s="103">
        <f>IFERROR(__xludf.DUMMYFUNCTION("(COUNTA(SPLIT(P22,"","",TRUE)) - NOT(LEN(P22)))"),0.0)</f>
        <v>0</v>
      </c>
      <c r="AG22" s="103">
        <f>IFERROR(__xludf.DUMMYFUNCTION("(COUNTA(SPLIT(Q22,"","",TRUE)) - NOT(LEN(Q22)))"),0.0)</f>
        <v>0</v>
      </c>
      <c r="AH22" s="104">
        <f t="shared" si="9"/>
        <v>0</v>
      </c>
      <c r="AI22" s="105">
        <f t="shared" ref="AI22:AX22" si="77">R22*AI$4</f>
        <v>0</v>
      </c>
      <c r="AJ22" s="106">
        <f t="shared" si="77"/>
        <v>0</v>
      </c>
      <c r="AK22" s="106">
        <f t="shared" si="77"/>
        <v>0</v>
      </c>
      <c r="AL22" s="106">
        <f t="shared" si="77"/>
        <v>0</v>
      </c>
      <c r="AM22" s="106">
        <f t="shared" si="77"/>
        <v>0</v>
      </c>
      <c r="AN22" s="106">
        <f t="shared" si="77"/>
        <v>0</v>
      </c>
      <c r="AO22" s="106">
        <f t="shared" si="77"/>
        <v>0</v>
      </c>
      <c r="AP22" s="106">
        <f t="shared" si="77"/>
        <v>0</v>
      </c>
      <c r="AQ22" s="106">
        <f t="shared" si="77"/>
        <v>0</v>
      </c>
      <c r="AR22" s="106">
        <f t="shared" si="77"/>
        <v>0</v>
      </c>
      <c r="AS22" s="106">
        <f t="shared" si="77"/>
        <v>0</v>
      </c>
      <c r="AT22" s="106">
        <f t="shared" si="77"/>
        <v>0</v>
      </c>
      <c r="AU22" s="106">
        <f t="shared" si="77"/>
        <v>0</v>
      </c>
      <c r="AV22" s="106">
        <f t="shared" si="77"/>
        <v>0</v>
      </c>
      <c r="AW22" s="106">
        <f t="shared" si="77"/>
        <v>0</v>
      </c>
      <c r="AX22" s="106">
        <f t="shared" si="77"/>
        <v>0</v>
      </c>
      <c r="AY22" s="105">
        <f t="shared" si="11"/>
        <v>0</v>
      </c>
      <c r="AZ22" s="107">
        <f t="shared" si="12"/>
        <v>0</v>
      </c>
      <c r="BA22" s="107">
        <f t="shared" si="13"/>
        <v>0</v>
      </c>
      <c r="BB22" s="107">
        <f t="shared" si="14"/>
        <v>0</v>
      </c>
      <c r="BC22" s="108">
        <f t="shared" ref="BC22:BR22" si="78">R22*BC$4</f>
        <v>0</v>
      </c>
      <c r="BD22" s="109">
        <f t="shared" si="78"/>
        <v>0</v>
      </c>
      <c r="BE22" s="109">
        <f t="shared" si="78"/>
        <v>0</v>
      </c>
      <c r="BF22" s="109">
        <f t="shared" si="78"/>
        <v>0</v>
      </c>
      <c r="BG22" s="109">
        <f t="shared" si="78"/>
        <v>0</v>
      </c>
      <c r="BH22" s="109">
        <f t="shared" si="78"/>
        <v>0</v>
      </c>
      <c r="BI22" s="109">
        <f t="shared" si="78"/>
        <v>0</v>
      </c>
      <c r="BJ22" s="109">
        <f t="shared" si="78"/>
        <v>0</v>
      </c>
      <c r="BK22" s="109">
        <f t="shared" si="78"/>
        <v>0</v>
      </c>
      <c r="BL22" s="109">
        <f t="shared" si="78"/>
        <v>0</v>
      </c>
      <c r="BM22" s="109">
        <f t="shared" si="78"/>
        <v>0</v>
      </c>
      <c r="BN22" s="109">
        <f t="shared" si="78"/>
        <v>0</v>
      </c>
      <c r="BO22" s="109">
        <f t="shared" si="78"/>
        <v>0</v>
      </c>
      <c r="BP22" s="109">
        <f t="shared" si="78"/>
        <v>0</v>
      </c>
      <c r="BQ22" s="109">
        <f t="shared" si="78"/>
        <v>0</v>
      </c>
      <c r="BR22" s="109">
        <f t="shared" si="78"/>
        <v>0</v>
      </c>
      <c r="BS22" s="110">
        <f t="shared" si="38"/>
        <v>0</v>
      </c>
      <c r="BT22" s="114"/>
    </row>
    <row r="23">
      <c r="A23" s="117"/>
      <c r="B23" s="117"/>
      <c r="C23" s="117"/>
      <c r="D23" s="117"/>
      <c r="E23" s="117"/>
      <c r="F23" s="117"/>
      <c r="G23" s="117"/>
      <c r="H23" s="96"/>
      <c r="I23" s="96"/>
      <c r="J23" s="96"/>
      <c r="K23" s="96"/>
      <c r="L23" s="96"/>
      <c r="M23" s="118"/>
      <c r="N23" s="118"/>
      <c r="O23" s="118"/>
      <c r="P23" s="118"/>
      <c r="Q23" s="118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20" t="s">
        <v>199</v>
      </c>
      <c r="AH23" s="121">
        <f>SUM(AH6:AH22)</f>
        <v>11</v>
      </c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3" t="s">
        <v>199</v>
      </c>
      <c r="AY23" s="124">
        <f t="shared" ref="AY23:BB23" si="79">SUM(AY6:AY22)</f>
        <v>240</v>
      </c>
      <c r="AZ23" s="125">
        <f t="shared" si="79"/>
        <v>4</v>
      </c>
      <c r="BA23" s="125">
        <f t="shared" si="79"/>
        <v>0.5</v>
      </c>
      <c r="BB23" s="125">
        <f t="shared" si="79"/>
        <v>2</v>
      </c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 t="s">
        <v>199</v>
      </c>
      <c r="BS23" s="126">
        <f>sum(BS6:BS22)</f>
        <v>199.2</v>
      </c>
      <c r="BT23" s="114"/>
    </row>
  </sheetData>
  <mergeCells count="8">
    <mergeCell ref="B1:Q4"/>
    <mergeCell ref="R1:AH4"/>
    <mergeCell ref="AI1:AX2"/>
    <mergeCell ref="BC1:BR2"/>
    <mergeCell ref="AY4:AY5"/>
    <mergeCell ref="AZ4:AZ5"/>
    <mergeCell ref="BA4:BA5"/>
    <mergeCell ref="BB4:BB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/>
      <c r="B1" s="128" t="s">
        <v>202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</row>
    <row r="2">
      <c r="A2" s="127"/>
      <c r="B2" s="131"/>
      <c r="C2" s="131"/>
      <c r="D2" s="131"/>
      <c r="E2" s="132" t="s">
        <v>203</v>
      </c>
      <c r="F2" s="129"/>
      <c r="G2" s="129"/>
      <c r="H2" s="129"/>
      <c r="I2" s="129"/>
      <c r="J2" s="129"/>
      <c r="K2" s="130"/>
      <c r="L2" s="132" t="s">
        <v>204</v>
      </c>
      <c r="M2" s="129"/>
      <c r="N2" s="130"/>
      <c r="O2" s="132" t="s">
        <v>205</v>
      </c>
      <c r="P2" s="129"/>
      <c r="Q2" s="130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</row>
    <row r="3">
      <c r="A3" s="133" t="s">
        <v>206</v>
      </c>
      <c r="B3" s="89" t="s">
        <v>183</v>
      </c>
      <c r="C3" s="89" t="s">
        <v>184</v>
      </c>
      <c r="D3" s="89" t="s">
        <v>185</v>
      </c>
      <c r="E3" s="89" t="s">
        <v>186</v>
      </c>
      <c r="F3" s="89" t="s">
        <v>187</v>
      </c>
      <c r="G3" s="89" t="s">
        <v>188</v>
      </c>
      <c r="H3" s="89" t="s">
        <v>189</v>
      </c>
      <c r="I3" s="89" t="s">
        <v>190</v>
      </c>
      <c r="J3" s="89" t="s">
        <v>191</v>
      </c>
      <c r="K3" s="89" t="s">
        <v>192</v>
      </c>
      <c r="L3" s="89" t="s">
        <v>193</v>
      </c>
      <c r="M3" s="89" t="s">
        <v>194</v>
      </c>
      <c r="N3" s="89" t="s">
        <v>195</v>
      </c>
      <c r="O3" s="89" t="s">
        <v>196</v>
      </c>
      <c r="P3" s="89" t="s">
        <v>197</v>
      </c>
      <c r="Q3" s="89" t="s">
        <v>198</v>
      </c>
      <c r="R3" s="118"/>
      <c r="S3" s="118"/>
      <c r="T3" s="118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</row>
    <row r="4">
      <c r="A4" s="135" t="s">
        <v>207</v>
      </c>
      <c r="B4" s="131" t="s">
        <v>208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6" t="s">
        <v>208</v>
      </c>
      <c r="R4" s="118"/>
      <c r="S4" s="118"/>
      <c r="T4" s="118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</row>
    <row r="5">
      <c r="A5" s="135" t="s">
        <v>209</v>
      </c>
      <c r="B5" s="136" t="s">
        <v>208</v>
      </c>
      <c r="C5" s="131" t="s">
        <v>208</v>
      </c>
      <c r="D5" s="131"/>
      <c r="E5" s="131"/>
      <c r="F5" s="131"/>
      <c r="G5" s="131"/>
      <c r="H5" s="131"/>
      <c r="I5" s="131"/>
      <c r="J5" s="131"/>
      <c r="K5" s="131" t="s">
        <v>208</v>
      </c>
      <c r="L5" s="131"/>
      <c r="M5" s="131"/>
      <c r="N5" s="131"/>
      <c r="O5" s="136" t="s">
        <v>208</v>
      </c>
      <c r="P5" s="136" t="s">
        <v>208</v>
      </c>
      <c r="Q5" s="131"/>
      <c r="R5" s="118"/>
      <c r="S5" s="118"/>
      <c r="T5" s="118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</row>
    <row r="6">
      <c r="A6" s="135" t="s">
        <v>210</v>
      </c>
      <c r="B6" s="131" t="s">
        <v>208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18"/>
      <c r="S6" s="118"/>
      <c r="T6" s="118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</row>
    <row r="7">
      <c r="A7" s="135" t="s">
        <v>211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6" t="s">
        <v>208</v>
      </c>
      <c r="P7" s="136" t="s">
        <v>208</v>
      </c>
      <c r="Q7" s="136" t="s">
        <v>208</v>
      </c>
      <c r="R7" s="118"/>
      <c r="S7" s="118"/>
      <c r="T7" s="118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</row>
    <row r="8">
      <c r="A8" s="135" t="s">
        <v>212</v>
      </c>
      <c r="B8" s="131" t="s">
        <v>208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18"/>
      <c r="S8" s="118"/>
      <c r="T8" s="118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</row>
    <row r="9">
      <c r="A9" s="135" t="s">
        <v>213</v>
      </c>
      <c r="B9" s="131"/>
      <c r="C9" s="131"/>
      <c r="D9" s="131" t="s">
        <v>208</v>
      </c>
      <c r="E9" s="131" t="s">
        <v>208</v>
      </c>
      <c r="F9" s="131" t="s">
        <v>208</v>
      </c>
      <c r="G9" s="131" t="s">
        <v>208</v>
      </c>
      <c r="H9" s="131"/>
      <c r="I9" s="131" t="s">
        <v>208</v>
      </c>
      <c r="J9" s="131" t="s">
        <v>208</v>
      </c>
      <c r="K9" s="131" t="s">
        <v>208</v>
      </c>
      <c r="L9" s="131"/>
      <c r="M9" s="131"/>
      <c r="N9" s="131"/>
      <c r="O9" s="131"/>
      <c r="P9" s="131"/>
      <c r="Q9" s="131"/>
      <c r="R9" s="118"/>
      <c r="S9" s="118"/>
      <c r="T9" s="118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</row>
    <row r="10">
      <c r="A10" s="135" t="s">
        <v>214</v>
      </c>
      <c r="B10" s="131"/>
      <c r="C10" s="131"/>
      <c r="D10" s="131" t="s">
        <v>208</v>
      </c>
      <c r="E10" s="131" t="s">
        <v>208</v>
      </c>
      <c r="F10" s="131" t="s">
        <v>208</v>
      </c>
      <c r="G10" s="131" t="s">
        <v>208</v>
      </c>
      <c r="H10" s="131"/>
      <c r="I10" s="131" t="s">
        <v>208</v>
      </c>
      <c r="J10" s="131" t="s">
        <v>208</v>
      </c>
      <c r="K10" s="131" t="s">
        <v>208</v>
      </c>
      <c r="L10" s="131"/>
      <c r="M10" s="131"/>
      <c r="N10" s="131"/>
      <c r="O10" s="131"/>
      <c r="P10" s="131"/>
      <c r="Q10" s="131"/>
      <c r="R10" s="118"/>
      <c r="S10" s="118"/>
      <c r="T10" s="118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</row>
    <row r="11">
      <c r="A11" s="135" t="s">
        <v>215</v>
      </c>
      <c r="B11" s="131"/>
      <c r="C11" s="131"/>
      <c r="D11" s="131" t="s">
        <v>208</v>
      </c>
      <c r="E11" s="131" t="s">
        <v>208</v>
      </c>
      <c r="F11" s="131" t="s">
        <v>208</v>
      </c>
      <c r="G11" s="131" t="s">
        <v>208</v>
      </c>
      <c r="H11" s="131"/>
      <c r="I11" s="131" t="s">
        <v>208</v>
      </c>
      <c r="J11" s="131" t="s">
        <v>208</v>
      </c>
      <c r="K11" s="131" t="s">
        <v>208</v>
      </c>
      <c r="L11" s="131" t="s">
        <v>208</v>
      </c>
      <c r="M11" s="131" t="s">
        <v>208</v>
      </c>
      <c r="N11" s="131"/>
      <c r="O11" s="131"/>
      <c r="P11" s="131"/>
      <c r="Q11" s="131"/>
      <c r="R11" s="118"/>
      <c r="S11" s="118"/>
      <c r="T11" s="118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</row>
    <row r="12">
      <c r="A12" s="135" t="s">
        <v>216</v>
      </c>
      <c r="B12" s="131"/>
      <c r="C12" s="131"/>
      <c r="D12" s="131"/>
      <c r="E12" s="131" t="s">
        <v>208</v>
      </c>
      <c r="F12" s="131" t="s">
        <v>208</v>
      </c>
      <c r="G12" s="131" t="s">
        <v>208</v>
      </c>
      <c r="H12" s="131"/>
      <c r="I12" s="131" t="s">
        <v>208</v>
      </c>
      <c r="J12" s="131" t="s">
        <v>208</v>
      </c>
      <c r="K12" s="131" t="s">
        <v>208</v>
      </c>
      <c r="L12" s="131"/>
      <c r="M12" s="131"/>
      <c r="N12" s="131"/>
      <c r="O12" s="131"/>
      <c r="P12" s="131"/>
      <c r="Q12" s="131"/>
      <c r="R12" s="118"/>
      <c r="S12" s="118"/>
      <c r="T12" s="118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</row>
    <row r="13">
      <c r="A13" s="135" t="s">
        <v>217</v>
      </c>
      <c r="B13" s="131"/>
      <c r="C13" s="131"/>
      <c r="D13" s="131"/>
      <c r="E13" s="131" t="s">
        <v>208</v>
      </c>
      <c r="F13" s="131" t="s">
        <v>208</v>
      </c>
      <c r="G13" s="131" t="s">
        <v>208</v>
      </c>
      <c r="H13" s="131"/>
      <c r="I13" s="131" t="s">
        <v>208</v>
      </c>
      <c r="J13" s="131" t="s">
        <v>208</v>
      </c>
      <c r="K13" s="131" t="s">
        <v>208</v>
      </c>
      <c r="L13" s="131"/>
      <c r="M13" s="131"/>
      <c r="N13" s="131" t="s">
        <v>208</v>
      </c>
      <c r="O13" s="131"/>
      <c r="P13" s="131"/>
      <c r="Q13" s="131"/>
      <c r="R13" s="118"/>
      <c r="S13" s="118"/>
      <c r="T13" s="118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</row>
    <row r="14">
      <c r="A14" s="137" t="s">
        <v>218</v>
      </c>
      <c r="B14" s="131"/>
      <c r="C14" s="131"/>
      <c r="D14" s="131" t="s">
        <v>208</v>
      </c>
      <c r="E14" s="131" t="s">
        <v>208</v>
      </c>
      <c r="F14" s="131"/>
      <c r="G14" s="131" t="s">
        <v>208</v>
      </c>
      <c r="H14" s="131" t="s">
        <v>208</v>
      </c>
      <c r="I14" s="131"/>
      <c r="J14" s="131"/>
      <c r="K14" s="131"/>
      <c r="L14" s="131"/>
      <c r="M14" s="131"/>
      <c r="N14" s="131"/>
      <c r="O14" s="131"/>
      <c r="P14" s="131"/>
      <c r="Q14" s="131"/>
      <c r="R14" s="118"/>
      <c r="S14" s="118"/>
      <c r="T14" s="118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</row>
    <row r="15">
      <c r="A15" s="135" t="s">
        <v>219</v>
      </c>
      <c r="B15" s="131"/>
      <c r="C15" s="131" t="s">
        <v>208</v>
      </c>
      <c r="D15" s="131"/>
      <c r="E15" s="131"/>
      <c r="F15" s="131"/>
      <c r="G15" s="131"/>
      <c r="H15" s="131"/>
      <c r="I15" s="131"/>
      <c r="J15" s="131"/>
      <c r="K15" s="131"/>
      <c r="L15" s="131" t="s">
        <v>208</v>
      </c>
      <c r="M15" s="131"/>
      <c r="N15" s="131"/>
      <c r="O15" s="131"/>
      <c r="P15" s="131"/>
      <c r="Q15" s="131" t="s">
        <v>208</v>
      </c>
      <c r="R15" s="118"/>
      <c r="S15" s="118"/>
      <c r="T15" s="118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</row>
    <row r="16">
      <c r="A16" s="137" t="s">
        <v>220</v>
      </c>
      <c r="B16" s="131"/>
      <c r="C16" s="131"/>
      <c r="D16" s="131"/>
      <c r="E16" s="131"/>
      <c r="F16" s="131" t="s">
        <v>208</v>
      </c>
      <c r="G16" s="131"/>
      <c r="H16" s="131"/>
      <c r="I16" s="131" t="s">
        <v>208</v>
      </c>
      <c r="J16" s="131" t="s">
        <v>208</v>
      </c>
      <c r="K16" s="131" t="s">
        <v>208</v>
      </c>
      <c r="L16" s="131"/>
      <c r="M16" s="131"/>
      <c r="N16" s="131"/>
      <c r="O16" s="131"/>
      <c r="P16" s="131"/>
      <c r="Q16" s="131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</row>
    <row r="17">
      <c r="A17" s="135" t="s">
        <v>221</v>
      </c>
      <c r="B17" s="131" t="s">
        <v>208</v>
      </c>
      <c r="C17" s="131"/>
      <c r="D17" s="131" t="s">
        <v>208</v>
      </c>
      <c r="E17" s="131" t="s">
        <v>208</v>
      </c>
      <c r="F17" s="131" t="s">
        <v>208</v>
      </c>
      <c r="G17" s="131" t="s">
        <v>208</v>
      </c>
      <c r="H17" s="131"/>
      <c r="I17" s="131" t="s">
        <v>208</v>
      </c>
      <c r="J17" s="131" t="s">
        <v>208</v>
      </c>
      <c r="K17" s="131" t="s">
        <v>208</v>
      </c>
      <c r="L17" s="131"/>
      <c r="M17" s="131"/>
      <c r="N17" s="131"/>
      <c r="O17" s="131"/>
      <c r="P17" s="131"/>
      <c r="Q17" s="131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</row>
    <row r="18">
      <c r="A18" s="137" t="s">
        <v>222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 t="s">
        <v>208</v>
      </c>
      <c r="O18" s="131"/>
      <c r="P18" s="131"/>
      <c r="Q18" s="131" t="s">
        <v>208</v>
      </c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</row>
    <row r="19">
      <c r="A19" s="137" t="s">
        <v>223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 t="s">
        <v>208</v>
      </c>
      <c r="O19" s="131"/>
      <c r="P19" s="131"/>
      <c r="Q19" s="131" t="s">
        <v>208</v>
      </c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</row>
    <row r="20">
      <c r="A20" s="138" t="s">
        <v>224</v>
      </c>
      <c r="B20" s="138">
        <f t="shared" ref="B20:Q20" si="1">COUNTA(B4:B19)</f>
        <v>5</v>
      </c>
      <c r="C20" s="138">
        <f t="shared" si="1"/>
        <v>2</v>
      </c>
      <c r="D20" s="138">
        <f t="shared" si="1"/>
        <v>5</v>
      </c>
      <c r="E20" s="138">
        <f t="shared" si="1"/>
        <v>7</v>
      </c>
      <c r="F20" s="138">
        <f t="shared" si="1"/>
        <v>7</v>
      </c>
      <c r="G20" s="138">
        <f t="shared" si="1"/>
        <v>7</v>
      </c>
      <c r="H20" s="138">
        <f t="shared" si="1"/>
        <v>1</v>
      </c>
      <c r="I20" s="138">
        <f t="shared" si="1"/>
        <v>7</v>
      </c>
      <c r="J20" s="138">
        <f t="shared" si="1"/>
        <v>7</v>
      </c>
      <c r="K20" s="138">
        <f t="shared" si="1"/>
        <v>8</v>
      </c>
      <c r="L20" s="138">
        <f t="shared" si="1"/>
        <v>2</v>
      </c>
      <c r="M20" s="138">
        <f t="shared" si="1"/>
        <v>1</v>
      </c>
      <c r="N20" s="138">
        <f t="shared" si="1"/>
        <v>3</v>
      </c>
      <c r="O20" s="138">
        <f t="shared" si="1"/>
        <v>2</v>
      </c>
      <c r="P20" s="138">
        <f t="shared" si="1"/>
        <v>2</v>
      </c>
      <c r="Q20" s="138">
        <f t="shared" si="1"/>
        <v>5</v>
      </c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</row>
  </sheetData>
  <mergeCells count="4">
    <mergeCell ref="B1:Q1"/>
    <mergeCell ref="E2:K2"/>
    <mergeCell ref="L2:N2"/>
    <mergeCell ref="O2:Q2"/>
  </mergeCells>
  <drawing r:id="rId1"/>
</worksheet>
</file>